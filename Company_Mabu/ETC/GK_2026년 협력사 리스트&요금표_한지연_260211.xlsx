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lob\OneDrive\바탕 화면\작업중_지연\"/>
    </mc:Choice>
  </mc:AlternateContent>
  <xr:revisionPtr revIDLastSave="0" documentId="13_ncr:1_{D1955AFF-B3C2-48FE-ACA8-0DE3B3A487D2}" xr6:coauthVersionLast="47" xr6:coauthVersionMax="47" xr10:uidLastSave="{00000000-0000-0000-0000-000000000000}"/>
  <bookViews>
    <workbookView xWindow="-28920" yWindow="-120" windowWidth="29040" windowHeight="15720" activeTab="4" xr2:uid="{F775043D-F1FE-4228-A77E-33A1742FAC55}"/>
  </bookViews>
  <sheets>
    <sheet name="협력사 리스트" sheetId="3" r:id="rId1"/>
    <sheet name="차량" sheetId="1" r:id="rId2"/>
    <sheet name="인력" sheetId="2" r:id="rId3"/>
    <sheet name="부산지역" sheetId="4" r:id="rId4"/>
    <sheet name="GK VAN_지방요금" sheetId="5" r:id="rId5"/>
    <sheet name="뉴경성_지방요금(0211)" sheetId="8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9" i="5" l="1"/>
  <c r="K28" i="5"/>
  <c r="K27" i="5"/>
  <c r="K29" i="8"/>
  <c r="K28" i="8"/>
  <c r="K27" i="8"/>
  <c r="K23" i="8"/>
  <c r="K21" i="8"/>
  <c r="K2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4" i="5"/>
  <c r="K25" i="5"/>
  <c r="K26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3" i="5"/>
  <c r="K15" i="8"/>
  <c r="K16" i="8"/>
  <c r="K17" i="8"/>
  <c r="K18" i="8"/>
  <c r="K19" i="8"/>
  <c r="K20" i="8"/>
  <c r="K22" i="8"/>
  <c r="K24" i="8"/>
  <c r="K25" i="8"/>
  <c r="K26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11" i="8"/>
  <c r="K12" i="8"/>
  <c r="K13" i="8"/>
  <c r="K14" i="8"/>
  <c r="K4" i="8"/>
  <c r="K5" i="8"/>
  <c r="K6" i="8"/>
  <c r="K7" i="8"/>
  <c r="K8" i="8"/>
  <c r="K9" i="8"/>
  <c r="K10" i="8"/>
  <c r="K3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T3" i="8"/>
  <c r="R3" i="8"/>
  <c r="M3" i="8" s="1"/>
  <c r="L3" i="8"/>
  <c r="L9" i="5"/>
  <c r="L7" i="5"/>
  <c r="L8" i="5"/>
  <c r="L5" i="5"/>
  <c r="L11" i="5"/>
  <c r="L12" i="5"/>
  <c r="L14" i="5"/>
  <c r="L15" i="5"/>
  <c r="L19" i="5"/>
  <c r="L20" i="5"/>
  <c r="L25" i="5"/>
  <c r="L16" i="5"/>
  <c r="L6" i="5"/>
  <c r="L4" i="5"/>
  <c r="L13" i="5"/>
  <c r="L10" i="5"/>
  <c r="L18" i="5"/>
  <c r="L24" i="5"/>
  <c r="L23" i="5"/>
  <c r="L32" i="5"/>
  <c r="L21" i="5"/>
  <c r="L30" i="5"/>
  <c r="L17" i="5"/>
  <c r="L22" i="5"/>
  <c r="L27" i="5"/>
  <c r="L28" i="5"/>
  <c r="L26" i="5"/>
  <c r="L35" i="5"/>
  <c r="L33" i="5"/>
  <c r="L29" i="5"/>
  <c r="L31" i="5"/>
  <c r="L34" i="5"/>
  <c r="L37" i="5"/>
  <c r="L39" i="5"/>
  <c r="L40" i="5"/>
  <c r="L36" i="5"/>
  <c r="L38" i="5"/>
  <c r="L43" i="5"/>
  <c r="L42" i="5"/>
  <c r="L41" i="5"/>
  <c r="L44" i="5"/>
  <c r="L45" i="5"/>
  <c r="L47" i="5"/>
  <c r="L46" i="5"/>
  <c r="L48" i="5"/>
  <c r="L49" i="5"/>
  <c r="L51" i="5"/>
  <c r="L52" i="5"/>
  <c r="L50" i="5"/>
  <c r="L53" i="5"/>
  <c r="L55" i="5"/>
  <c r="L54" i="5"/>
  <c r="L56" i="5"/>
  <c r="L57" i="5"/>
  <c r="L61" i="5"/>
  <c r="L62" i="5"/>
  <c r="L58" i="5"/>
  <c r="L60" i="5"/>
  <c r="L63" i="5"/>
  <c r="L59" i="5"/>
  <c r="L64" i="5"/>
  <c r="L65" i="5"/>
  <c r="L66" i="5"/>
  <c r="L67" i="5"/>
  <c r="L68" i="5"/>
  <c r="L69" i="5"/>
  <c r="L70" i="5"/>
  <c r="L71" i="5"/>
  <c r="L3" i="5"/>
  <c r="T3" i="5"/>
  <c r="R3" i="5"/>
  <c r="M3" i="5" s="1"/>
  <c r="J83" i="4"/>
  <c r="J82" i="4"/>
  <c r="I82" i="4"/>
  <c r="J81" i="4"/>
  <c r="I81" i="4"/>
  <c r="J80" i="4"/>
  <c r="I80" i="4"/>
  <c r="J79" i="4"/>
  <c r="I79" i="4"/>
  <c r="J78" i="4"/>
  <c r="I78" i="4"/>
  <c r="J77" i="4"/>
  <c r="J76" i="4"/>
  <c r="I76" i="4"/>
  <c r="J75" i="4"/>
  <c r="I75" i="4"/>
  <c r="J74" i="4"/>
  <c r="I74" i="4"/>
  <c r="J73" i="4"/>
  <c r="I73" i="4"/>
  <c r="J72" i="4"/>
  <c r="I72" i="4"/>
  <c r="J71" i="4"/>
  <c r="J70" i="4"/>
  <c r="J69" i="4"/>
  <c r="J68" i="4"/>
  <c r="J67" i="4"/>
  <c r="J66" i="4"/>
  <c r="I66" i="4"/>
  <c r="J65" i="4"/>
  <c r="J64" i="4"/>
  <c r="I64" i="4"/>
  <c r="J63" i="4"/>
  <c r="I63" i="4"/>
  <c r="J62" i="4"/>
  <c r="I62" i="4"/>
  <c r="J61" i="4"/>
  <c r="I61" i="4"/>
  <c r="J60" i="4"/>
  <c r="I60" i="4"/>
  <c r="J59" i="4"/>
  <c r="J58" i="4"/>
  <c r="I58" i="4"/>
  <c r="J57" i="4"/>
  <c r="I57" i="4"/>
  <c r="J56" i="4"/>
  <c r="I56" i="4"/>
  <c r="J55" i="4"/>
  <c r="I55" i="4"/>
  <c r="J54" i="4"/>
  <c r="I54" i="4"/>
  <c r="J53" i="4"/>
  <c r="J52" i="4"/>
  <c r="I52" i="4"/>
  <c r="J51" i="4"/>
  <c r="I51" i="4"/>
  <c r="J50" i="4"/>
  <c r="I50" i="4"/>
  <c r="J49" i="4"/>
  <c r="I49" i="4"/>
  <c r="J48" i="4"/>
  <c r="I48" i="4"/>
  <c r="Q83" i="4"/>
  <c r="O83" i="4"/>
  <c r="Q82" i="4"/>
  <c r="O82" i="4"/>
  <c r="Q81" i="4"/>
  <c r="O81" i="4"/>
  <c r="Q80" i="4"/>
  <c r="O80" i="4"/>
  <c r="Q79" i="4"/>
  <c r="O79" i="4"/>
  <c r="Q78" i="4"/>
  <c r="O78" i="4"/>
  <c r="Q77" i="4"/>
  <c r="O77" i="4"/>
  <c r="Q76" i="4"/>
  <c r="O76" i="4"/>
  <c r="Q75" i="4"/>
  <c r="O75" i="4"/>
  <c r="Q74" i="4"/>
  <c r="O74" i="4"/>
  <c r="Q73" i="4"/>
  <c r="O73" i="4"/>
  <c r="Q72" i="4"/>
  <c r="O72" i="4"/>
  <c r="Q71" i="4"/>
  <c r="O71" i="4"/>
  <c r="Q70" i="4"/>
  <c r="O70" i="4"/>
  <c r="Q69" i="4"/>
  <c r="O69" i="4"/>
  <c r="Q68" i="4"/>
  <c r="O68" i="4"/>
  <c r="Q67" i="4"/>
  <c r="O67" i="4"/>
  <c r="Q66" i="4"/>
  <c r="O66" i="4"/>
  <c r="Q65" i="4"/>
  <c r="O65" i="4"/>
  <c r="Q64" i="4"/>
  <c r="O64" i="4"/>
  <c r="Q63" i="4"/>
  <c r="O63" i="4"/>
  <c r="Q62" i="4"/>
  <c r="O62" i="4"/>
  <c r="Q61" i="4"/>
  <c r="O61" i="4"/>
  <c r="Q60" i="4"/>
  <c r="O60" i="4"/>
  <c r="Q59" i="4"/>
  <c r="O59" i="4"/>
  <c r="Q58" i="4"/>
  <c r="O58" i="4"/>
  <c r="Q57" i="4"/>
  <c r="O57" i="4"/>
  <c r="Q56" i="4"/>
  <c r="O56" i="4"/>
  <c r="Q55" i="4"/>
  <c r="O55" i="4"/>
  <c r="Q54" i="4"/>
  <c r="O54" i="4"/>
  <c r="Q53" i="4"/>
  <c r="O53" i="4"/>
  <c r="Q52" i="4"/>
  <c r="O52" i="4"/>
  <c r="Q51" i="4"/>
  <c r="O51" i="4"/>
  <c r="Q50" i="4"/>
  <c r="O50" i="4"/>
  <c r="Q49" i="4"/>
  <c r="O49" i="4"/>
  <c r="Q48" i="4"/>
  <c r="O48" i="4"/>
  <c r="J46" i="4"/>
  <c r="I46" i="4"/>
  <c r="J45" i="4"/>
  <c r="I45" i="4"/>
  <c r="J44" i="4"/>
  <c r="I44" i="4"/>
  <c r="J43" i="4"/>
  <c r="I43" i="4"/>
  <c r="J42" i="4"/>
  <c r="I42" i="4"/>
  <c r="Q47" i="4"/>
  <c r="O47" i="4"/>
  <c r="J47" i="4" s="1"/>
  <c r="Q46" i="4"/>
  <c r="O46" i="4"/>
  <c r="Q45" i="4"/>
  <c r="O45" i="4"/>
  <c r="Q44" i="4"/>
  <c r="O44" i="4"/>
  <c r="Q43" i="4"/>
  <c r="O43" i="4"/>
  <c r="Q42" i="4"/>
  <c r="O42" i="4"/>
  <c r="Q41" i="4"/>
  <c r="Q38" i="4"/>
  <c r="Q39" i="4"/>
  <c r="Q40" i="4"/>
  <c r="Q37" i="4"/>
  <c r="Q36" i="4"/>
  <c r="I40" i="4"/>
  <c r="I39" i="4"/>
  <c r="I38" i="4"/>
  <c r="J37" i="4"/>
  <c r="I37" i="4"/>
  <c r="O41" i="4"/>
  <c r="J41" i="4" s="1"/>
  <c r="O40" i="4"/>
  <c r="O39" i="4"/>
  <c r="J39" i="4" s="1"/>
  <c r="O38" i="4"/>
  <c r="J38" i="4" s="1"/>
  <c r="O37" i="4"/>
  <c r="I36" i="4"/>
  <c r="O36" i="4"/>
  <c r="J36" i="4" s="1"/>
  <c r="J40" i="4" l="1"/>
  <c r="F129" i="1"/>
  <c r="F128" i="1"/>
  <c r="F127" i="1"/>
  <c r="F126" i="1"/>
  <c r="F125" i="1"/>
  <c r="F123" i="1"/>
  <c r="F122" i="1"/>
  <c r="F121" i="1"/>
  <c r="F120" i="1"/>
  <c r="F119" i="1"/>
  <c r="F117" i="1"/>
  <c r="F116" i="1"/>
  <c r="F115" i="1"/>
  <c r="F114" i="1"/>
  <c r="F113" i="1"/>
  <c r="F111" i="1"/>
  <c r="F110" i="1"/>
  <c r="F109" i="1"/>
  <c r="F108" i="1"/>
  <c r="F107" i="1"/>
  <c r="F105" i="1"/>
  <c r="F104" i="1"/>
  <c r="F103" i="1"/>
  <c r="F102" i="1"/>
  <c r="F101" i="1"/>
  <c r="F99" i="1"/>
  <c r="F98" i="1"/>
  <c r="F97" i="1"/>
  <c r="F96" i="1"/>
  <c r="F95" i="1"/>
  <c r="F93" i="1"/>
  <c r="F92" i="1"/>
  <c r="F91" i="1"/>
  <c r="F90" i="1"/>
  <c r="F89" i="1"/>
  <c r="F57" i="1"/>
  <c r="F58" i="1"/>
  <c r="F59" i="1"/>
  <c r="F60" i="1"/>
  <c r="F61" i="1"/>
  <c r="F62" i="1"/>
  <c r="F63" i="1"/>
  <c r="F64" i="1"/>
  <c r="F65" i="1"/>
  <c r="F66" i="1"/>
  <c r="F67" i="1"/>
  <c r="C13" i="2"/>
  <c r="F86" i="1" l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42" i="1"/>
  <c r="F41" i="1"/>
  <c r="F44" i="1"/>
  <c r="F43" i="1"/>
  <c r="F40" i="1"/>
  <c r="F39" i="1"/>
  <c r="F38" i="1"/>
  <c r="F37" i="1"/>
  <c r="F36" i="1"/>
  <c r="F35" i="1"/>
  <c r="F31" i="1"/>
  <c r="F30" i="1"/>
  <c r="F29" i="1"/>
  <c r="F28" i="1"/>
  <c r="F27" i="1"/>
  <c r="F26" i="1"/>
  <c r="F25" i="1"/>
  <c r="F16" i="1"/>
  <c r="F22" i="1"/>
  <c r="F21" i="1"/>
  <c r="F20" i="1"/>
  <c r="F19" i="1"/>
  <c r="F18" i="1"/>
  <c r="F17" i="1"/>
  <c r="F12" i="1"/>
  <c r="F5" i="1"/>
  <c r="F6" i="1"/>
  <c r="F7" i="1"/>
  <c r="F8" i="1"/>
  <c r="F9" i="1"/>
  <c r="F10" i="1"/>
  <c r="F11" i="1"/>
  <c r="F4" i="1"/>
</calcChain>
</file>

<file path=xl/sharedStrings.xml><?xml version="1.0" encoding="utf-8"?>
<sst xmlns="http://schemas.openxmlformats.org/spreadsheetml/2006/main" count="1378" uniqueCount="460">
  <si>
    <t>비고</t>
  </si>
  <si>
    <t>구간</t>
    <phoneticPr fontId="2" type="noConversion"/>
  </si>
  <si>
    <t>차종</t>
    <phoneticPr fontId="2" type="noConversion"/>
  </si>
  <si>
    <t>증감액</t>
    <phoneticPr fontId="2" type="noConversion"/>
  </si>
  <si>
    <t>G90</t>
    <phoneticPr fontId="2" type="noConversion"/>
  </si>
  <si>
    <t>인천공항-서울</t>
    <phoneticPr fontId="2" type="noConversion"/>
  </si>
  <si>
    <t>김포공항-서울</t>
    <phoneticPr fontId="2" type="noConversion"/>
  </si>
  <si>
    <t>올데이</t>
    <phoneticPr fontId="2" type="noConversion"/>
  </si>
  <si>
    <t>1. GK직영</t>
    <phoneticPr fontId="2" type="noConversion"/>
  </si>
  <si>
    <t>인천공항-서울기본구역</t>
    <phoneticPr fontId="2" type="noConversion"/>
  </si>
  <si>
    <t>인천공항-서울강남구역</t>
    <phoneticPr fontId="2" type="noConversion"/>
  </si>
  <si>
    <t>추가 시간 비용</t>
    <phoneticPr fontId="2" type="noConversion"/>
  </si>
  <si>
    <t>2. CK컴퍼니</t>
    <phoneticPr fontId="2" type="noConversion"/>
  </si>
  <si>
    <t>올데이(신형)</t>
    <phoneticPr fontId="2" type="noConversion"/>
  </si>
  <si>
    <t>올데이(구형)</t>
    <phoneticPr fontId="2" type="noConversion"/>
  </si>
  <si>
    <t>수원</t>
    <phoneticPr fontId="2" type="noConversion"/>
  </si>
  <si>
    <t>용인</t>
    <phoneticPr fontId="2" type="noConversion"/>
  </si>
  <si>
    <t>성남ㆍ분당</t>
    <phoneticPr fontId="2" type="noConversion"/>
  </si>
  <si>
    <t>3. 뉴경성</t>
    <phoneticPr fontId="2" type="noConversion"/>
  </si>
  <si>
    <t>요금 동결 협의</t>
    <phoneticPr fontId="2" type="noConversion"/>
  </si>
  <si>
    <t>4. 박창현 팀장님</t>
    <phoneticPr fontId="2" type="noConversion"/>
  </si>
  <si>
    <t>스타리아</t>
    <phoneticPr fontId="2" type="noConversion"/>
  </si>
  <si>
    <t>지방 행사 숙박비&amp;식비 추가 협의 필요</t>
    <phoneticPr fontId="2" type="noConversion"/>
  </si>
  <si>
    <t>추가 시간 비용(20~30분)</t>
    <phoneticPr fontId="2" type="noConversion"/>
  </si>
  <si>
    <t>추가 시간 비용(31~60분)</t>
    <phoneticPr fontId="2" type="noConversion"/>
  </si>
  <si>
    <t>요금 동결 협의 / 성남&amp;판교 출도착시 +2만원 추가(25년부터 적용)</t>
    <phoneticPr fontId="2" type="noConversion"/>
  </si>
  <si>
    <t>올데이_골프장_기본</t>
    <phoneticPr fontId="2" type="noConversion"/>
  </si>
  <si>
    <t>골프장위치: 의정부, 용인, 송도, 남양주 등</t>
    <phoneticPr fontId="2" type="noConversion"/>
  </si>
  <si>
    <t>올데이_골프장_장거리</t>
    <phoneticPr fontId="2" type="noConversion"/>
  </si>
  <si>
    <t>골프장위치: 여주, 가평, 춘천, 횡성 등(상황에 따라 정산시 논의)</t>
    <phoneticPr fontId="2" type="noConversion"/>
  </si>
  <si>
    <t>5. 부산 월드리무진</t>
    <phoneticPr fontId="2" type="noConversion"/>
  </si>
  <si>
    <t>김해공항/부산역 편도</t>
    <phoneticPr fontId="2" type="noConversion"/>
  </si>
  <si>
    <t>카니발(L)</t>
    <phoneticPr fontId="2" type="noConversion"/>
  </si>
  <si>
    <t>카니발</t>
    <phoneticPr fontId="2" type="noConversion"/>
  </si>
  <si>
    <t>쏠라티</t>
    <phoneticPr fontId="2" type="noConversion"/>
  </si>
  <si>
    <t>스프린터</t>
    <phoneticPr fontId="2" type="noConversion"/>
  </si>
  <si>
    <t>올데이(10시간)</t>
    <phoneticPr fontId="2" type="noConversion"/>
  </si>
  <si>
    <t>반일(4시간)</t>
    <phoneticPr fontId="2" type="noConversion"/>
  </si>
  <si>
    <t>힐튼/아난티 추가금액</t>
    <phoneticPr fontId="2" type="noConversion"/>
  </si>
  <si>
    <t>봉은사 기준 좌측</t>
    <phoneticPr fontId="2" type="noConversion"/>
  </si>
  <si>
    <t>봉은사 기준 우측(그랜드인터컨,코엑스,송파구,워커힐 등)</t>
    <phoneticPr fontId="2" type="noConversion"/>
  </si>
  <si>
    <t>2025년</t>
    <phoneticPr fontId="2" type="noConversion"/>
  </si>
  <si>
    <t>2026년</t>
    <phoneticPr fontId="2" type="noConversion"/>
  </si>
  <si>
    <t>여승영</t>
    <phoneticPr fontId="2" type="noConversion"/>
  </si>
  <si>
    <t>하태윤</t>
    <phoneticPr fontId="2" type="noConversion"/>
  </si>
  <si>
    <t>모어댄</t>
    <phoneticPr fontId="2" type="noConversion"/>
  </si>
  <si>
    <t>협의필요</t>
    <phoneticPr fontId="2" type="noConversion"/>
  </si>
  <si>
    <t>*모어댄: 브릿이미팅 가능, 패스트트랙 불가</t>
    <phoneticPr fontId="2" type="noConversion"/>
  </si>
  <si>
    <t>대중교통 이용이 어려운 시간대인 경우, 교통비 또는 주차비 지급(모어댄X)</t>
    <phoneticPr fontId="2" type="noConversion"/>
  </si>
  <si>
    <t>올데이(9시간)</t>
    <phoneticPr fontId="2" type="noConversion"/>
  </si>
  <si>
    <t>정혜미</t>
    <phoneticPr fontId="2" type="noConversion"/>
  </si>
  <si>
    <t>샌딩유</t>
    <phoneticPr fontId="2" type="noConversion"/>
  </si>
  <si>
    <t>[2026년도 협력사 요금표_차량]</t>
    <phoneticPr fontId="2" type="noConversion"/>
  </si>
  <si>
    <t>[2026년도 협력사 요금표_인력]</t>
    <phoneticPr fontId="2" type="noConversion"/>
  </si>
  <si>
    <t>공항_도착홀_일반시간</t>
    <phoneticPr fontId="2" type="noConversion"/>
  </si>
  <si>
    <t>공항_도착홀_취약시간</t>
    <phoneticPr fontId="2" type="noConversion"/>
  </si>
  <si>
    <t>공항_CIQ_일반시간</t>
    <phoneticPr fontId="2" type="noConversion"/>
  </si>
  <si>
    <t>공항_CIQ_취약시간</t>
    <phoneticPr fontId="2" type="noConversion"/>
  </si>
  <si>
    <t>가이드</t>
    <phoneticPr fontId="2" type="noConversion"/>
  </si>
  <si>
    <t>*샌딩유 코트룸: 20,000원</t>
    <phoneticPr fontId="2" type="noConversion"/>
  </si>
  <si>
    <t>*가이드: 석식 이후 종료의 경우 +50,000원</t>
    <phoneticPr fontId="2" type="noConversion"/>
  </si>
  <si>
    <t>1. 공항 인력</t>
    <phoneticPr fontId="2" type="noConversion"/>
  </si>
  <si>
    <t>2. 수행 기사</t>
    <phoneticPr fontId="2" type="noConversion"/>
  </si>
  <si>
    <t>굿서비스</t>
    <phoneticPr fontId="2" type="noConversion"/>
  </si>
  <si>
    <t>더이음</t>
    <phoneticPr fontId="2" type="noConversion"/>
  </si>
  <si>
    <t>골프장 10시간 기준</t>
    <phoneticPr fontId="2" type="noConversion"/>
  </si>
  <si>
    <t>101~200km</t>
    <phoneticPr fontId="2" type="noConversion"/>
  </si>
  <si>
    <t>201~300km</t>
    <phoneticPr fontId="2" type="noConversion"/>
  </si>
  <si>
    <t>301~400km</t>
    <phoneticPr fontId="2" type="noConversion"/>
  </si>
  <si>
    <t>10시간 이후 추가 시간 비용/1hr</t>
    <phoneticPr fontId="2" type="noConversion"/>
  </si>
  <si>
    <t xml:space="preserve"> </t>
    <phoneticPr fontId="2" type="noConversion"/>
  </si>
  <si>
    <t>[2026년도 협력사 리스트]</t>
    <phoneticPr fontId="2" type="noConversion"/>
  </si>
  <si>
    <t>업체명</t>
    <phoneticPr fontId="2" type="noConversion"/>
  </si>
  <si>
    <t>담당자</t>
    <phoneticPr fontId="2" type="noConversion"/>
  </si>
  <si>
    <t>연락처</t>
    <phoneticPr fontId="2" type="noConversion"/>
  </si>
  <si>
    <t>메일</t>
    <phoneticPr fontId="2" type="noConversion"/>
  </si>
  <si>
    <t>비고</t>
    <phoneticPr fontId="2" type="noConversion"/>
  </si>
  <si>
    <t>우선순위</t>
    <phoneticPr fontId="2" type="noConversion"/>
  </si>
  <si>
    <t>1. 서울 및 수도권</t>
    <phoneticPr fontId="2" type="noConversion"/>
  </si>
  <si>
    <t>CK 컴퍼니</t>
    <phoneticPr fontId="2" type="noConversion"/>
  </si>
  <si>
    <t>뉴경성</t>
    <phoneticPr fontId="2" type="noConversion"/>
  </si>
  <si>
    <t>리모블랙</t>
    <phoneticPr fontId="2" type="noConversion"/>
  </si>
  <si>
    <t>2. 부산</t>
    <phoneticPr fontId="2" type="noConversion"/>
  </si>
  <si>
    <t>월드리무진</t>
    <phoneticPr fontId="2" type="noConversion"/>
  </si>
  <si>
    <t>전국방방곡곡 카캐리어</t>
    <phoneticPr fontId="2" type="noConversion"/>
  </si>
  <si>
    <t>GK_VAN(박창현)</t>
    <phoneticPr fontId="2" type="noConversion"/>
  </si>
  <si>
    <t>Export(조택래 부장님)</t>
    <phoneticPr fontId="2" type="noConversion"/>
  </si>
  <si>
    <t>3. 제주</t>
    <phoneticPr fontId="2" type="noConversion"/>
  </si>
  <si>
    <t>미스터제주</t>
    <phoneticPr fontId="2" type="noConversion"/>
  </si>
  <si>
    <t>강용호(개인_쏠라티)</t>
    <phoneticPr fontId="2" type="noConversion"/>
  </si>
  <si>
    <t>강용호</t>
    <phoneticPr fontId="2" type="noConversion"/>
  </si>
  <si>
    <t>010-3696-7812</t>
    <phoneticPr fontId="2" type="noConversion"/>
  </si>
  <si>
    <t>메트로리무진(한창호)</t>
    <phoneticPr fontId="2" type="noConversion"/>
  </si>
  <si>
    <t>청화렌트카</t>
    <phoneticPr fontId="2" type="noConversion"/>
  </si>
  <si>
    <t>여산관광</t>
    <phoneticPr fontId="2" type="noConversion"/>
  </si>
  <si>
    <t>4. 버스</t>
    <phoneticPr fontId="2" type="noConversion"/>
  </si>
  <si>
    <t>5. 수행 기사</t>
    <phoneticPr fontId="2" type="noConversion"/>
  </si>
  <si>
    <t>6. 인력</t>
    <phoneticPr fontId="2" type="noConversion"/>
  </si>
  <si>
    <t>8. 렌터카</t>
    <phoneticPr fontId="2" type="noConversion"/>
  </si>
  <si>
    <t>써치어카인드</t>
    <phoneticPr fontId="2" type="noConversion"/>
  </si>
  <si>
    <t>레인포컴퍼니</t>
    <phoneticPr fontId="2" type="noConversion"/>
  </si>
  <si>
    <t>푸른솔관광</t>
    <phoneticPr fontId="2" type="noConversion"/>
  </si>
  <si>
    <t>대원관광</t>
    <phoneticPr fontId="2" type="noConversion"/>
  </si>
  <si>
    <t>한남관광</t>
    <phoneticPr fontId="2" type="noConversion"/>
  </si>
  <si>
    <t>그린하나 버스투어</t>
    <phoneticPr fontId="2" type="noConversion"/>
  </si>
  <si>
    <t>아이엠택시</t>
    <phoneticPr fontId="2" type="noConversion"/>
  </si>
  <si>
    <t>코리아와이드리무진</t>
    <phoneticPr fontId="2" type="noConversion"/>
  </si>
  <si>
    <t>7. 택시</t>
    <phoneticPr fontId="2" type="noConversion"/>
  </si>
  <si>
    <t>9. 기타</t>
    <phoneticPr fontId="2" type="noConversion"/>
  </si>
  <si>
    <t>인터내셔널택시</t>
    <phoneticPr fontId="2" type="noConversion"/>
  </si>
  <si>
    <t>에어드라이브</t>
    <phoneticPr fontId="2" type="noConversion"/>
  </si>
  <si>
    <t>파파모빌리티</t>
    <phoneticPr fontId="2" type="noConversion"/>
  </si>
  <si>
    <t>스위스관광</t>
    <phoneticPr fontId="2" type="noConversion"/>
  </si>
  <si>
    <t>TY(하태윤)</t>
    <phoneticPr fontId="2" type="noConversion"/>
  </si>
  <si>
    <t>SK렌터카</t>
    <phoneticPr fontId="2" type="noConversion"/>
  </si>
  <si>
    <t>찜이사</t>
    <phoneticPr fontId="2" type="noConversion"/>
  </si>
  <si>
    <t>평화관광</t>
    <phoneticPr fontId="2" type="noConversion"/>
  </si>
  <si>
    <t>모어댄에스코트</t>
    <phoneticPr fontId="2" type="noConversion"/>
  </si>
  <si>
    <t>금호고속</t>
    <phoneticPr fontId="2" type="noConversion"/>
  </si>
  <si>
    <t>No.</t>
    <phoneticPr fontId="2" type="noConversion"/>
  </si>
  <si>
    <t>S-class</t>
    <phoneticPr fontId="2" type="noConversion"/>
  </si>
  <si>
    <t>스타리아(L)</t>
    <phoneticPr fontId="2" type="noConversion"/>
  </si>
  <si>
    <t>가용수량</t>
    <phoneticPr fontId="2" type="noConversion"/>
  </si>
  <si>
    <t>스프린터(L)</t>
    <phoneticPr fontId="2" type="noConversion"/>
  </si>
  <si>
    <t>스프린터(일반)</t>
    <phoneticPr fontId="2" type="noConversion"/>
  </si>
  <si>
    <t>G80(EV)</t>
    <phoneticPr fontId="2" type="noConversion"/>
  </si>
  <si>
    <t>렉서스</t>
    <phoneticPr fontId="2" type="noConversion"/>
  </si>
  <si>
    <t>알파드</t>
    <phoneticPr fontId="2" type="noConversion"/>
  </si>
  <si>
    <t>케이베스트투어</t>
    <phoneticPr fontId="2" type="noConversion"/>
  </si>
  <si>
    <t>권기완 실장</t>
    <phoneticPr fontId="2" type="noConversion"/>
  </si>
  <si>
    <t>010-3890-2951</t>
    <phoneticPr fontId="2" type="noConversion"/>
  </si>
  <si>
    <t>5. 케이베스트콜밴</t>
    <phoneticPr fontId="2" type="noConversion"/>
  </si>
  <si>
    <t>영어로 왓츠앱 사용 및 소통 가능</t>
    <phoneticPr fontId="2" type="noConversion"/>
  </si>
  <si>
    <t>조윤제 대표</t>
    <phoneticPr fontId="2" type="noConversion"/>
  </si>
  <si>
    <t>김은현 실장</t>
    <phoneticPr fontId="2" type="noConversion"/>
  </si>
  <si>
    <t>임옥희 실장</t>
    <phoneticPr fontId="2" type="noConversion"/>
  </si>
  <si>
    <t>박창현 팀장</t>
    <phoneticPr fontId="2" type="noConversion"/>
  </si>
  <si>
    <t>한창호 팀장</t>
    <phoneticPr fontId="2" type="noConversion"/>
  </si>
  <si>
    <t>★★★</t>
  </si>
  <si>
    <t>★★★</t>
    <phoneticPr fontId="2" type="noConversion"/>
  </si>
  <si>
    <t>010-8594-7867</t>
    <phoneticPr fontId="2" type="noConversion"/>
  </si>
  <si>
    <t>010-9015-5147</t>
    <phoneticPr fontId="2" type="noConversion"/>
  </si>
  <si>
    <t>010-3597-5302</t>
    <phoneticPr fontId="2" type="noConversion"/>
  </si>
  <si>
    <t>홍순호 팀장</t>
    <phoneticPr fontId="2" type="noConversion"/>
  </si>
  <si>
    <t>010-8265-7329</t>
    <phoneticPr fontId="2" type="noConversion"/>
  </si>
  <si>
    <t>010-6294-9928</t>
    <phoneticPr fontId="2" type="noConversion"/>
  </si>
  <si>
    <t>010-8534-0037</t>
    <phoneticPr fontId="2" type="noConversion"/>
  </si>
  <si>
    <t>신정식 팀장</t>
    <phoneticPr fontId="2" type="noConversion"/>
  </si>
  <si>
    <t>010-3707-6147</t>
    <phoneticPr fontId="2" type="noConversion"/>
  </si>
  <si>
    <t>장호진 이사</t>
    <phoneticPr fontId="2" type="noConversion"/>
  </si>
  <si>
    <t>010-5660-0814</t>
    <phoneticPr fontId="2" type="noConversion"/>
  </si>
  <si>
    <t>김상철 매니저</t>
    <phoneticPr fontId="2" type="noConversion"/>
  </si>
  <si>
    <t>010-4201-6537</t>
    <phoneticPr fontId="2" type="noConversion"/>
  </si>
  <si>
    <t>안성영 대표</t>
    <phoneticPr fontId="2" type="noConversion"/>
  </si>
  <si>
    <t>010-5013-6689</t>
    <phoneticPr fontId="2" type="noConversion"/>
  </si>
  <si>
    <t>오택준 대표</t>
    <phoneticPr fontId="2" type="noConversion"/>
  </si>
  <si>
    <t>김성찬 팀장</t>
    <phoneticPr fontId="2" type="noConversion"/>
  </si>
  <si>
    <t>010-4782-0882</t>
    <phoneticPr fontId="2" type="noConversion"/>
  </si>
  <si>
    <t>010-2379-8617</t>
    <phoneticPr fontId="2" type="noConversion"/>
  </si>
  <si>
    <t>신재영 팀장 : 010-5798-4421</t>
    <phoneticPr fontId="2" type="noConversion"/>
  </si>
  <si>
    <t>ckkoreacom@naver.com</t>
    <phoneticPr fontId="2" type="noConversion"/>
  </si>
  <si>
    <t>mario@jinmobility.com</t>
    <phoneticPr fontId="2" type="noConversion"/>
  </si>
  <si>
    <t>zoro122@sk.com</t>
    <phoneticPr fontId="2" type="noConversion"/>
  </si>
  <si>
    <t>gs15995599@hanmail.net</t>
    <phoneticPr fontId="2" type="noConversion"/>
  </si>
  <si>
    <t>gumatravel@nate.com</t>
    <phoneticPr fontId="2" type="noConversion"/>
  </si>
  <si>
    <t>rent3311@naver.com</t>
    <phoneticPr fontId="2" type="noConversion"/>
  </si>
  <si>
    <t>juhyun-ahn@naver.com</t>
    <phoneticPr fontId="2" type="noConversion"/>
  </si>
  <si>
    <t>hyoungbok@lotte.net</t>
    <phoneticPr fontId="2" type="noConversion"/>
  </si>
  <si>
    <t>롯데렌터카</t>
    <phoneticPr fontId="2" type="noConversion"/>
  </si>
  <si>
    <t>limocenter@limoblack.co.kr</t>
    <phoneticPr fontId="2" type="noConversion"/>
  </si>
  <si>
    <t>jeju5333@naver.com</t>
    <phoneticPr fontId="2" type="noConversion"/>
  </si>
  <si>
    <t>sendingu@naver.com</t>
    <phoneticPr fontId="2" type="noConversion"/>
  </si>
  <si>
    <t>nicemeetyou@swisstour.co.kr</t>
    <phoneticPr fontId="2" type="noConversion"/>
  </si>
  <si>
    <t>purunsol0010@hanmail.net</t>
    <phoneticPr fontId="2" type="noConversion"/>
  </si>
  <si>
    <t>현대자동차</t>
    <phoneticPr fontId="2" type="noConversion"/>
  </si>
  <si>
    <t>jiwoo.park@kia.com</t>
    <phoneticPr fontId="2" type="noConversion"/>
  </si>
  <si>
    <t>(업뎃예정)</t>
    <phoneticPr fontId="2" type="noConversion"/>
  </si>
  <si>
    <t>★★</t>
    <phoneticPr fontId="2" type="noConversion"/>
  </si>
  <si>
    <t>★</t>
    <phoneticPr fontId="2" type="noConversion"/>
  </si>
  <si>
    <t>외부 차량 렌트해서 직영 기사 수행으로 운영</t>
    <phoneticPr fontId="2" type="noConversion"/>
  </si>
  <si>
    <t>24년 이용하였으나, 금액에 굉장히 민감하고 불친절하여 이용하지 않고 있음</t>
    <phoneticPr fontId="2" type="noConversion"/>
  </si>
  <si>
    <t>스타리아 차량도 같이 운영한다고 하나 이용한 적 없음</t>
    <phoneticPr fontId="2" type="noConversion"/>
  </si>
  <si>
    <t>서울시에서 의료관광 픽샌딩으로 이용할 것을 권고했던 업체. 2월 테스트로 이용 예정</t>
    <phoneticPr fontId="2" type="noConversion"/>
  </si>
  <si>
    <t>권강현 팀장</t>
    <phoneticPr fontId="2" type="noConversion"/>
  </si>
  <si>
    <t>010-4903-8408</t>
    <phoneticPr fontId="2" type="noConversion"/>
  </si>
  <si>
    <t>G80</t>
    <phoneticPr fontId="2" type="noConversion"/>
  </si>
  <si>
    <t>우등버스</t>
    <phoneticPr fontId="2" type="noConversion"/>
  </si>
  <si>
    <t>대형버스</t>
    <phoneticPr fontId="2" type="noConversion"/>
  </si>
  <si>
    <t>원익재 대표</t>
    <phoneticPr fontId="2" type="noConversion"/>
  </si>
  <si>
    <t>010-4565-9595</t>
    <phoneticPr fontId="2" type="noConversion"/>
  </si>
  <si>
    <t>op6678@daum.net</t>
    <phoneticPr fontId="2" type="noConversion"/>
  </si>
  <si>
    <t>대헝/우등버스</t>
    <phoneticPr fontId="2" type="noConversion"/>
  </si>
  <si>
    <t>기사님 제주공항 피켓팅 가능</t>
    <phoneticPr fontId="2" type="noConversion"/>
  </si>
  <si>
    <t>개인사업자로, 본인 및 다른 기사님 섭외 가능, 기사님 제주공항 피켓팅 가능</t>
    <phoneticPr fontId="2" type="noConversion"/>
  </si>
  <si>
    <t>정범석 대표</t>
    <phoneticPr fontId="2" type="noConversion"/>
  </si>
  <si>
    <t>010-9831-5333</t>
    <phoneticPr fontId="2" type="noConversion"/>
  </si>
  <si>
    <t>대형/우등/카운티</t>
    <phoneticPr fontId="2" type="noConversion"/>
  </si>
  <si>
    <t>조택래 부장</t>
    <phoneticPr fontId="2" type="noConversion"/>
  </si>
  <si>
    <t>010-3006-9722</t>
    <phoneticPr fontId="2" type="noConversion"/>
  </si>
  <si>
    <t>주로 대원고속 배차, 행사 시 많은 수량의 차량이 필요할 경우 요청</t>
    <phoneticPr fontId="2" type="noConversion"/>
  </si>
  <si>
    <t>김숙이 실장</t>
    <phoneticPr fontId="2" type="noConversion"/>
  </si>
  <si>
    <t>1544-7551</t>
    <phoneticPr fontId="2" type="noConversion"/>
  </si>
  <si>
    <t>ysanlee@daum.net</t>
    <phoneticPr fontId="2" type="noConversion"/>
  </si>
  <si>
    <t>천연가스버스</t>
    <phoneticPr fontId="2" type="noConversion"/>
  </si>
  <si>
    <t>이정순 전무</t>
    <phoneticPr fontId="2" type="noConversion"/>
  </si>
  <si>
    <t>010-5286-6429</t>
    <phoneticPr fontId="2" type="noConversion"/>
  </si>
  <si>
    <t>신차량 적음, 기사님들 연령 대부분 높은편, 노란색 아닌 카운티 보유(회색)</t>
    <phoneticPr fontId="2" type="noConversion"/>
  </si>
  <si>
    <t>대형/우등</t>
    <phoneticPr fontId="2" type="noConversion"/>
  </si>
  <si>
    <t>강정호 부장</t>
    <phoneticPr fontId="2" type="noConversion"/>
  </si>
  <si>
    <t>010-9078-6282</t>
    <phoneticPr fontId="2" type="noConversion"/>
  </si>
  <si>
    <t>hnts4141@naver.com</t>
    <phoneticPr fontId="2" type="noConversion"/>
  </si>
  <si>
    <t>02-734-4141</t>
    <phoneticPr fontId="2" type="noConversion"/>
  </si>
  <si>
    <t>윤정희 실장</t>
    <phoneticPr fontId="2" type="noConversion"/>
  </si>
  <si>
    <t>010-2213-1774</t>
    <phoneticPr fontId="2" type="noConversion"/>
  </si>
  <si>
    <t>전국 수배 가능</t>
    <phoneticPr fontId="2" type="noConversion"/>
  </si>
  <si>
    <t>권용석 부장</t>
    <phoneticPr fontId="2" type="noConversion"/>
  </si>
  <si>
    <t>010-6864-4077</t>
    <phoneticPr fontId="2" type="noConversion"/>
  </si>
  <si>
    <t>임해관광_전라도</t>
    <phoneticPr fontId="2" type="noConversion"/>
  </si>
  <si>
    <t>순천자전거대회 때 이용, 기사 관리 안됨</t>
    <phoneticPr fontId="2" type="noConversion"/>
  </si>
  <si>
    <t>금아여행사_경주</t>
    <phoneticPr fontId="2" type="noConversion"/>
  </si>
  <si>
    <t>김윤미 대표</t>
    <phoneticPr fontId="2" type="noConversion"/>
  </si>
  <si>
    <t>010-9912-3333</t>
    <phoneticPr fontId="2" type="noConversion"/>
  </si>
  <si>
    <t>박철민 대표</t>
    <phoneticPr fontId="2" type="noConversion"/>
  </si>
  <si>
    <t>010-4644-4412</t>
    <phoneticPr fontId="2" type="noConversion"/>
  </si>
  <si>
    <t>신동근 팀장</t>
    <phoneticPr fontId="2" type="noConversion"/>
  </si>
  <si>
    <t>010-5030-2949</t>
    <phoneticPr fontId="2" type="noConversion"/>
  </si>
  <si>
    <t>지방 타업체 수배 가능, 신차량 다수 보유, 기사님 교육 및 관리 양호, 업무 협력 우수</t>
    <phoneticPr fontId="2" type="noConversion"/>
  </si>
  <si>
    <t>유한고속관광_제주</t>
    <phoneticPr fontId="2" type="noConversion"/>
  </si>
  <si>
    <t>수행기사</t>
    <phoneticPr fontId="2" type="noConversion"/>
  </si>
  <si>
    <t>굿서비스보다 기본요금이 조금 높음, 대신 거리별 추가 요금 없음, 행사 시 탁송 진행</t>
    <phoneticPr fontId="2" type="noConversion"/>
  </si>
  <si>
    <t>VIP 행사 시는 복장 등 다소 부적합. 삼성증권 VIP 수행기사는 큰 문제없이 수행</t>
    <phoneticPr fontId="2" type="noConversion"/>
  </si>
  <si>
    <t>윤미화 과장</t>
    <phoneticPr fontId="2" type="noConversion"/>
  </si>
  <si>
    <t>010-5742-7273</t>
    <phoneticPr fontId="2" type="noConversion"/>
  </si>
  <si>
    <t>안주현 이사</t>
    <phoneticPr fontId="2" type="noConversion"/>
  </si>
  <si>
    <t>010-9170-0885</t>
    <phoneticPr fontId="2" type="noConversion"/>
  </si>
  <si>
    <t>백승우 대표</t>
    <phoneticPr fontId="2" type="noConversion"/>
  </si>
  <si>
    <t>010-3393-5100</t>
    <phoneticPr fontId="2" type="noConversion"/>
  </si>
  <si>
    <t>롯데카드고객 서비스 담당</t>
    <phoneticPr fontId="2" type="noConversion"/>
  </si>
  <si>
    <t>김지성 본부장</t>
    <phoneticPr fontId="2" type="noConversion"/>
  </si>
  <si>
    <t>010-5034-2767</t>
    <phoneticPr fontId="2" type="noConversion"/>
  </si>
  <si>
    <t>010-7939-0972</t>
    <phoneticPr fontId="2" type="noConversion"/>
  </si>
  <si>
    <t>GK와 다수 협업 중, 고객사에 개별 서비스 홍보 등의 문제가 있었음</t>
    <phoneticPr fontId="2" type="noConversion"/>
  </si>
  <si>
    <t>브릿지영접 가능하나, 패스트트랙은 불가(케이스별 가능하기도하나, 불가로 보는게 나음)</t>
    <phoneticPr fontId="2" type="noConversion"/>
  </si>
  <si>
    <t>ask@morethanescort.com</t>
    <phoneticPr fontId="2" type="noConversion"/>
  </si>
  <si>
    <t>조성우</t>
    <phoneticPr fontId="2" type="noConversion"/>
  </si>
  <si>
    <t>24년 이후 이용 안함</t>
    <phoneticPr fontId="2" type="noConversion"/>
  </si>
  <si>
    <t>세단,미니밴</t>
    <phoneticPr fontId="2" type="noConversion"/>
  </si>
  <si>
    <t>에버랜드 서비스로 이용하였으나, 최근 배차 거의 불가능</t>
    <phoneticPr fontId="2" type="noConversion"/>
  </si>
  <si>
    <t>양승규 팀장</t>
    <phoneticPr fontId="2" type="noConversion"/>
  </si>
  <si>
    <t>서울관광재단 의료관광부분으로 이용 중, GK 기사 어플 사용 중</t>
    <phoneticPr fontId="2" type="noConversion"/>
  </si>
  <si>
    <t>이성환 매니저</t>
    <phoneticPr fontId="2" type="noConversion"/>
  </si>
  <si>
    <t>010-3661-6501</t>
    <phoneticPr fontId="2" type="noConversion"/>
  </si>
  <si>
    <t>010-9431-3550</t>
    <phoneticPr fontId="2" type="noConversion"/>
  </si>
  <si>
    <t>휠체어리프트 차량 예약 가능하나, 예약 가능 기간이 매우 길어서 이용 어려움</t>
    <phoneticPr fontId="2" type="noConversion"/>
  </si>
  <si>
    <t>최정호 매니저</t>
    <phoneticPr fontId="2" type="noConversion"/>
  </si>
  <si>
    <t>010-8666-9470</t>
    <phoneticPr fontId="2" type="noConversion"/>
  </si>
  <si>
    <t>nicholas.choi@papamobility.com</t>
    <phoneticPr fontId="2" type="noConversion"/>
  </si>
  <si>
    <t>이형복</t>
    <phoneticPr fontId="2" type="noConversion"/>
  </si>
  <si>
    <t>박지우 책임</t>
    <phoneticPr fontId="2" type="noConversion"/>
  </si>
  <si>
    <t>정유항</t>
    <phoneticPr fontId="2" type="noConversion"/>
  </si>
  <si>
    <t>010-3537-5464</t>
    <phoneticPr fontId="2" type="noConversion"/>
  </si>
  <si>
    <t>010-3669-0014</t>
    <phoneticPr fontId="2" type="noConversion"/>
  </si>
  <si>
    <t>010-2302-6415</t>
    <phoneticPr fontId="2" type="noConversion"/>
  </si>
  <si>
    <t>카캐리어</t>
    <phoneticPr fontId="2" type="noConversion"/>
  </si>
  <si>
    <t>화물</t>
    <phoneticPr fontId="2" type="noConversion"/>
  </si>
  <si>
    <t>협찬차량</t>
    <phoneticPr fontId="2" type="noConversion"/>
  </si>
  <si>
    <t>김태건 사장</t>
    <phoneticPr fontId="2" type="noConversion"/>
  </si>
  <si>
    <t>010-8300-4972</t>
    <phoneticPr fontId="2" type="noConversion"/>
  </si>
  <si>
    <t>세금계산서 발행 가능, 수도권까지 타 기사 수배 가능</t>
    <phoneticPr fontId="2" type="noConversion"/>
  </si>
  <si>
    <t>김성일 사장</t>
    <phoneticPr fontId="2" type="noConversion"/>
  </si>
  <si>
    <t>010-3334-2400</t>
    <phoneticPr fontId="2" type="noConversion"/>
  </si>
  <si>
    <t>쿠팡플레이 토트넘 행사 시 이용</t>
    <phoneticPr fontId="2" type="noConversion"/>
  </si>
  <si>
    <t>드로니</t>
    <phoneticPr fontId="2" type="noConversion"/>
  </si>
  <si>
    <t>안이사</t>
    <phoneticPr fontId="2" type="noConversion"/>
  </si>
  <si>
    <t>010-8773-0049</t>
    <phoneticPr fontId="2" type="noConversion"/>
  </si>
  <si>
    <t>메트로리무진(한창호)</t>
  </si>
  <si>
    <t>에스컬레이드</t>
  </si>
  <si>
    <t>㈜제주가는날</t>
    <phoneticPr fontId="2" type="noConversion"/>
  </si>
  <si>
    <t>전차종</t>
    <phoneticPr fontId="2" type="noConversion"/>
  </si>
  <si>
    <t>미스터제주 정범석 대표가 세금계산서 발행하는 업체로 버스 및 차량 보유</t>
    <phoneticPr fontId="2" type="noConversion"/>
  </si>
  <si>
    <t>김종욱 대표</t>
    <phoneticPr fontId="2" type="noConversion"/>
  </si>
  <si>
    <t>010-5156-2440</t>
    <phoneticPr fontId="2" type="noConversion"/>
  </si>
  <si>
    <t>eovud77@naver.com</t>
    <phoneticPr fontId="2" type="noConversion"/>
  </si>
  <si>
    <t>25년 10월부터 도입</t>
    <phoneticPr fontId="2" type="noConversion"/>
  </si>
  <si>
    <t>GK_개인기사</t>
    <phoneticPr fontId="2" type="noConversion"/>
  </si>
  <si>
    <t>청담리무진</t>
    <phoneticPr fontId="2" type="noConversion"/>
  </si>
  <si>
    <t>G90(신형)</t>
    <phoneticPr fontId="2" type="noConversion"/>
  </si>
  <si>
    <t>온대연</t>
    <phoneticPr fontId="2" type="noConversion"/>
  </si>
  <si>
    <t>정회택</t>
    <phoneticPr fontId="2" type="noConversion"/>
  </si>
  <si>
    <t>설효철</t>
    <phoneticPr fontId="2" type="noConversion"/>
  </si>
  <si>
    <t>010-4290-1116</t>
    <phoneticPr fontId="2" type="noConversion"/>
  </si>
  <si>
    <t>010-4390-1116</t>
  </si>
  <si>
    <t>010-4490-1116</t>
  </si>
  <si>
    <t>00-4690-6</t>
  </si>
  <si>
    <t>00-4790-6</t>
  </si>
  <si>
    <t>00-4890-6</t>
  </si>
  <si>
    <t>00-41290-6</t>
  </si>
  <si>
    <t>00-41390-6</t>
  </si>
  <si>
    <t>00-41490-6</t>
  </si>
  <si>
    <t>00-41590-6</t>
  </si>
  <si>
    <t>00-41690-6</t>
  </si>
  <si>
    <t>00-42090-6</t>
  </si>
  <si>
    <t>00-42390-6</t>
  </si>
  <si>
    <t>00-42490-6</t>
  </si>
  <si>
    <t>00-42590-6</t>
  </si>
  <si>
    <t>00-42690-6</t>
  </si>
  <si>
    <t>00-42790-6</t>
  </si>
  <si>
    <t>00-42890-6</t>
  </si>
  <si>
    <t>00-42990-6</t>
  </si>
  <si>
    <t>00-43190-6</t>
  </si>
  <si>
    <t>00-43290-6</t>
  </si>
  <si>
    <t>00-43390-6</t>
  </si>
  <si>
    <t>0500-43590-5050506</t>
  </si>
  <si>
    <t>0600-43690-6060606</t>
  </si>
  <si>
    <t>010-2800-4243</t>
    <phoneticPr fontId="2" type="noConversion"/>
  </si>
  <si>
    <t>010-5437-6061</t>
    <phoneticPr fontId="2" type="noConversion"/>
  </si>
  <si>
    <t>세단 차량 중 1순위로 배정, 행사성 일정 시 현장에서 기사님들 컨트롤 협조 가능</t>
    <phoneticPr fontId="2" type="noConversion"/>
  </si>
  <si>
    <t>차고지 군포시로 인근 출도착 배정 시 유용</t>
    <phoneticPr fontId="2" type="noConversion"/>
  </si>
  <si>
    <t>차고지 강남으로 인근 출도착 배정 시 유용</t>
    <phoneticPr fontId="2" type="noConversion"/>
  </si>
  <si>
    <t>김해공항/거제시 편도</t>
    <phoneticPr fontId="2" type="noConversion"/>
  </si>
  <si>
    <t>김해공항/창원시 편도</t>
    <phoneticPr fontId="2" type="noConversion"/>
  </si>
  <si>
    <t>김해공항/마산시 편도</t>
    <phoneticPr fontId="2" type="noConversion"/>
  </si>
  <si>
    <t>김해공항/울산시 편도</t>
    <phoneticPr fontId="2" type="noConversion"/>
  </si>
  <si>
    <t>김해공항/경주시 편도</t>
    <phoneticPr fontId="2" type="noConversion"/>
  </si>
  <si>
    <t>김해공항/대구시 편도</t>
    <phoneticPr fontId="2" type="noConversion"/>
  </si>
  <si>
    <t>김해공항/사천시 편도</t>
    <phoneticPr fontId="2" type="noConversion"/>
  </si>
  <si>
    <t>6. 부산 월드리무진_타지역</t>
    <phoneticPr fontId="2" type="noConversion"/>
  </si>
  <si>
    <t>김해공항/진주시 편도</t>
    <phoneticPr fontId="2" type="noConversion"/>
  </si>
  <si>
    <t>62km</t>
    <phoneticPr fontId="2" type="noConversion"/>
  </si>
  <si>
    <t>43km</t>
    <phoneticPr fontId="2" type="noConversion"/>
  </si>
  <si>
    <t>50km</t>
    <phoneticPr fontId="2" type="noConversion"/>
  </si>
  <si>
    <t>70km</t>
    <phoneticPr fontId="2" type="noConversion"/>
  </si>
  <si>
    <t>87km</t>
    <phoneticPr fontId="2" type="noConversion"/>
  </si>
  <si>
    <t>110km</t>
    <phoneticPr fontId="2" type="noConversion"/>
  </si>
  <si>
    <t>120km</t>
    <phoneticPr fontId="2" type="noConversion"/>
  </si>
  <si>
    <t>100km</t>
    <phoneticPr fontId="2" type="noConversion"/>
  </si>
  <si>
    <t>2023년</t>
    <phoneticPr fontId="2" type="noConversion"/>
  </si>
  <si>
    <t>1. 부산 내</t>
    <phoneticPr fontId="2" type="noConversion"/>
  </si>
  <si>
    <t>ㅇ</t>
    <phoneticPr fontId="2" type="noConversion"/>
  </si>
  <si>
    <t>부산트랩</t>
    <phoneticPr fontId="2" type="noConversion"/>
  </si>
  <si>
    <t>부산밴타고</t>
    <phoneticPr fontId="2" type="noConversion"/>
  </si>
  <si>
    <t>25만/35만(리무진)</t>
    <phoneticPr fontId="2" type="noConversion"/>
  </si>
  <si>
    <t>450,000(9H)</t>
    <phoneticPr fontId="2" type="noConversion"/>
  </si>
  <si>
    <t>400,000(9H)</t>
    <phoneticPr fontId="2" type="noConversion"/>
  </si>
  <si>
    <t>300,000(9H)</t>
    <phoneticPr fontId="2" type="noConversion"/>
  </si>
  <si>
    <t>50만/80만(리무진)</t>
    <phoneticPr fontId="2" type="noConversion"/>
  </si>
  <si>
    <t>550,000(9H)</t>
    <phoneticPr fontId="2" type="noConversion"/>
  </si>
  <si>
    <t>-</t>
    <phoneticPr fontId="2" type="noConversion"/>
  </si>
  <si>
    <t>없음</t>
    <phoneticPr fontId="2" type="noConversion"/>
  </si>
  <si>
    <t>2. 부산 외 타지역</t>
    <phoneticPr fontId="2" type="noConversion"/>
  </si>
  <si>
    <t>35만/45만</t>
    <phoneticPr fontId="2" type="noConversion"/>
  </si>
  <si>
    <t>40만/45만</t>
    <phoneticPr fontId="2" type="noConversion"/>
  </si>
  <si>
    <t>40만/50만</t>
    <phoneticPr fontId="2" type="noConversion"/>
  </si>
  <si>
    <t>(거리 = 인공T1 -&gt; 시/군청기준)</t>
    <phoneticPr fontId="2" type="noConversion"/>
  </si>
  <si>
    <t>NO.</t>
    <phoneticPr fontId="2" type="noConversion"/>
  </si>
  <si>
    <t>도착(도)</t>
    <phoneticPr fontId="2" type="noConversion"/>
  </si>
  <si>
    <t>도착(시,군)</t>
    <phoneticPr fontId="2" type="noConversion"/>
  </si>
  <si>
    <t>거리(KM)</t>
    <phoneticPr fontId="2" type="noConversion"/>
  </si>
  <si>
    <t>금액(인공출발)</t>
    <phoneticPr fontId="2" type="noConversion"/>
  </si>
  <si>
    <t>금액(김공출발)</t>
    <phoneticPr fontId="2" type="noConversion"/>
  </si>
  <si>
    <t>금액(서울시출발)</t>
    <phoneticPr fontId="2" type="noConversion"/>
  </si>
  <si>
    <t>올데이추가비용</t>
    <phoneticPr fontId="2" type="noConversion"/>
  </si>
  <si>
    <t>서울시</t>
    <phoneticPr fontId="2" type="noConversion"/>
  </si>
  <si>
    <t>서울전역</t>
    <phoneticPr fontId="2" type="noConversion"/>
  </si>
  <si>
    <t>경기도</t>
    <phoneticPr fontId="2" type="noConversion"/>
  </si>
  <si>
    <t>고양시</t>
    <phoneticPr fontId="2" type="noConversion"/>
  </si>
  <si>
    <t>부천시</t>
    <phoneticPr fontId="2" type="noConversion"/>
  </si>
  <si>
    <t>광명시</t>
    <phoneticPr fontId="2" type="noConversion"/>
  </si>
  <si>
    <t>시흥시</t>
    <phoneticPr fontId="2" type="noConversion"/>
  </si>
  <si>
    <t>안양시</t>
    <phoneticPr fontId="2" type="noConversion"/>
  </si>
  <si>
    <t>군포시</t>
    <phoneticPr fontId="2" type="noConversion"/>
  </si>
  <si>
    <t>과천시</t>
    <phoneticPr fontId="2" type="noConversion"/>
  </si>
  <si>
    <t>의왕시</t>
    <phoneticPr fontId="2" type="noConversion"/>
  </si>
  <si>
    <t>의정부시</t>
    <phoneticPr fontId="2" type="noConversion"/>
  </si>
  <si>
    <t>구리시</t>
    <phoneticPr fontId="2" type="noConversion"/>
  </si>
  <si>
    <t>하남시</t>
    <phoneticPr fontId="2" type="noConversion"/>
  </si>
  <si>
    <t>성남시</t>
    <phoneticPr fontId="2" type="noConversion"/>
  </si>
  <si>
    <t>김포시</t>
    <phoneticPr fontId="2" type="noConversion"/>
  </si>
  <si>
    <t>인천시</t>
    <phoneticPr fontId="2" type="noConversion"/>
  </si>
  <si>
    <t>인천시(강화군)</t>
    <phoneticPr fontId="2" type="noConversion"/>
  </si>
  <si>
    <t>안산시</t>
    <phoneticPr fontId="2" type="noConversion"/>
  </si>
  <si>
    <t>수원시</t>
    <phoneticPr fontId="2" type="noConversion"/>
  </si>
  <si>
    <t>용인시</t>
    <phoneticPr fontId="2" type="noConversion"/>
  </si>
  <si>
    <t>오산시</t>
    <phoneticPr fontId="2" type="noConversion"/>
  </si>
  <si>
    <t>안성시</t>
    <phoneticPr fontId="2" type="noConversion"/>
  </si>
  <si>
    <t>화성시</t>
    <phoneticPr fontId="2" type="noConversion"/>
  </si>
  <si>
    <t>평택시</t>
    <phoneticPr fontId="2" type="noConversion"/>
  </si>
  <si>
    <t>파주시</t>
    <phoneticPr fontId="2" type="noConversion"/>
  </si>
  <si>
    <t>양주시</t>
    <phoneticPr fontId="2" type="noConversion"/>
  </si>
  <si>
    <t>동두천시</t>
    <phoneticPr fontId="2" type="noConversion"/>
  </si>
  <si>
    <t>포천시</t>
    <phoneticPr fontId="2" type="noConversion"/>
  </si>
  <si>
    <t>남양주시</t>
    <phoneticPr fontId="2" type="noConversion"/>
  </si>
  <si>
    <t>가평군</t>
    <phoneticPr fontId="2" type="noConversion"/>
  </si>
  <si>
    <t>양평군</t>
    <phoneticPr fontId="2" type="noConversion"/>
  </si>
  <si>
    <t>광주시</t>
    <phoneticPr fontId="2" type="noConversion"/>
  </si>
  <si>
    <t>이천시</t>
    <phoneticPr fontId="2" type="noConversion"/>
  </si>
  <si>
    <t>여주시</t>
    <phoneticPr fontId="2" type="noConversion"/>
  </si>
  <si>
    <t>충청북도</t>
    <phoneticPr fontId="2" type="noConversion"/>
  </si>
  <si>
    <t>청주시</t>
    <phoneticPr fontId="2" type="noConversion"/>
  </si>
  <si>
    <t>세종시</t>
    <phoneticPr fontId="2" type="noConversion"/>
  </si>
  <si>
    <t>대전시</t>
    <phoneticPr fontId="2" type="noConversion"/>
  </si>
  <si>
    <t>충주시</t>
    <phoneticPr fontId="2" type="noConversion"/>
  </si>
  <si>
    <t>제천시</t>
    <phoneticPr fontId="2" type="noConversion"/>
  </si>
  <si>
    <t>충청남도</t>
    <phoneticPr fontId="2" type="noConversion"/>
  </si>
  <si>
    <t>천안시</t>
    <phoneticPr fontId="2" type="noConversion"/>
  </si>
  <si>
    <t>아산시</t>
    <phoneticPr fontId="2" type="noConversion"/>
  </si>
  <si>
    <t>당진시</t>
    <phoneticPr fontId="2" type="noConversion"/>
  </si>
  <si>
    <t>태안군</t>
    <phoneticPr fontId="2" type="noConversion"/>
  </si>
  <si>
    <t>논산시</t>
    <phoneticPr fontId="2" type="noConversion"/>
  </si>
  <si>
    <t>강원도</t>
    <phoneticPr fontId="2" type="noConversion"/>
  </si>
  <si>
    <t>춘천시</t>
    <phoneticPr fontId="2" type="noConversion"/>
  </si>
  <si>
    <t>원주시</t>
    <phoneticPr fontId="2" type="noConversion"/>
  </si>
  <si>
    <t>횡성군</t>
    <phoneticPr fontId="2" type="noConversion"/>
  </si>
  <si>
    <t>홍천군</t>
    <phoneticPr fontId="2" type="noConversion"/>
  </si>
  <si>
    <t>평창군(용평기준)</t>
    <phoneticPr fontId="2" type="noConversion"/>
  </si>
  <si>
    <t>속초시</t>
    <phoneticPr fontId="2" type="noConversion"/>
  </si>
  <si>
    <t>양양군</t>
    <phoneticPr fontId="2" type="noConversion"/>
  </si>
  <si>
    <t>강릉시</t>
    <phoneticPr fontId="2" type="noConversion"/>
  </si>
  <si>
    <t>경상북도</t>
    <phoneticPr fontId="2" type="noConversion"/>
  </si>
  <si>
    <t>대구시</t>
    <phoneticPr fontId="2" type="noConversion"/>
  </si>
  <si>
    <t>안동시</t>
    <phoneticPr fontId="2" type="noConversion"/>
  </si>
  <si>
    <t>포항시</t>
    <phoneticPr fontId="2" type="noConversion"/>
  </si>
  <si>
    <t>경주시</t>
    <phoneticPr fontId="2" type="noConversion"/>
  </si>
  <si>
    <t>경상남도</t>
    <phoneticPr fontId="2" type="noConversion"/>
  </si>
  <si>
    <t>울산시</t>
    <phoneticPr fontId="2" type="noConversion"/>
  </si>
  <si>
    <t>부산시</t>
    <phoneticPr fontId="2" type="noConversion"/>
  </si>
  <si>
    <t>진주시</t>
    <phoneticPr fontId="2" type="noConversion"/>
  </si>
  <si>
    <t>창원시</t>
    <phoneticPr fontId="2" type="noConversion"/>
  </si>
  <si>
    <t>거제시</t>
    <phoneticPr fontId="2" type="noConversion"/>
  </si>
  <si>
    <t>사천시</t>
    <phoneticPr fontId="2" type="noConversion"/>
  </si>
  <si>
    <t>전라북도</t>
    <phoneticPr fontId="2" type="noConversion"/>
  </si>
  <si>
    <t>군산시</t>
    <phoneticPr fontId="2" type="noConversion"/>
  </si>
  <si>
    <t>익산시</t>
    <phoneticPr fontId="2" type="noConversion"/>
  </si>
  <si>
    <t>전주시</t>
    <phoneticPr fontId="2" type="noConversion"/>
  </si>
  <si>
    <t>전라남도</t>
    <phoneticPr fontId="2" type="noConversion"/>
  </si>
  <si>
    <t>나주시</t>
    <phoneticPr fontId="2" type="noConversion"/>
  </si>
  <si>
    <t>목포시</t>
    <phoneticPr fontId="2" type="noConversion"/>
  </si>
  <si>
    <t>순천시</t>
    <phoneticPr fontId="2" type="noConversion"/>
  </si>
  <si>
    <t>여수시</t>
    <phoneticPr fontId="2" type="noConversion"/>
  </si>
  <si>
    <t>G to G 거리</t>
    <phoneticPr fontId="2" type="noConversion"/>
  </si>
  <si>
    <t>통행료</t>
    <phoneticPr fontId="2" type="noConversion"/>
  </si>
  <si>
    <t>기타</t>
    <phoneticPr fontId="2" type="noConversion"/>
  </si>
  <si>
    <t>기본요금</t>
    <phoneticPr fontId="2" type="noConversion"/>
  </si>
  <si>
    <t>판매가(vat별도)</t>
    <phoneticPr fontId="2" type="noConversion"/>
  </si>
  <si>
    <t>시간</t>
    <phoneticPr fontId="2" type="noConversion"/>
  </si>
  <si>
    <t>3시간/75km</t>
    <phoneticPr fontId="2" type="noConversion"/>
  </si>
  <si>
    <t>3시간후 OT</t>
    <phoneticPr fontId="2" type="noConversion"/>
  </si>
  <si>
    <t>추가시간</t>
    <phoneticPr fontId="2" type="noConversion"/>
  </si>
  <si>
    <t>추가거리</t>
    <phoneticPr fontId="2" type="noConversion"/>
  </si>
  <si>
    <t>GK계산법금액</t>
    <phoneticPr fontId="2" type="noConversion"/>
  </si>
  <si>
    <t>입금가+마크업금액</t>
    <phoneticPr fontId="2" type="noConversion"/>
  </si>
  <si>
    <t>DNIC</t>
    <phoneticPr fontId="2" type="noConversion"/>
  </si>
  <si>
    <t>전혜원 주임</t>
    <phoneticPr fontId="2" type="noConversion"/>
  </si>
  <si>
    <t>010-9263-4915</t>
    <phoneticPr fontId="2" type="noConversion"/>
  </si>
  <si>
    <t>기본</t>
    <phoneticPr fontId="2" type="noConversion"/>
  </si>
  <si>
    <t>PCO요금기준</t>
    <phoneticPr fontId="2" type="noConversion"/>
  </si>
  <si>
    <t>기본/김공동일금액</t>
    <phoneticPr fontId="2" type="noConversion"/>
  </si>
  <si>
    <t>국내제휴2구역</t>
    <phoneticPr fontId="2" type="noConversion"/>
  </si>
  <si>
    <t>기본금액과차액</t>
    <phoneticPr fontId="2" type="noConversion"/>
  </si>
  <si>
    <t>국내제휴기본구역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</si>
</sst>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sz val="10"/>
      <color rgb="FF1F1F1F"/>
      <name val="맑은 고딕"/>
      <family val="3"/>
      <charset val="129"/>
      <scheme val="major"/>
    </font>
    <font>
      <b/>
      <sz val="10"/>
      <color rgb="FF1F1F1F"/>
      <name val="맑은 고딕"/>
      <family val="3"/>
      <charset val="129"/>
      <scheme val="major"/>
    </font>
    <font>
      <sz val="10"/>
      <color rgb="FF3333FF"/>
      <name val="맑은 고딕"/>
      <family val="3"/>
      <charset val="129"/>
      <scheme val="major"/>
    </font>
    <font>
      <b/>
      <sz val="13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0"/>
      <color rgb="FFFFFF00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sz val="10"/>
      <color rgb="FF3333FF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190">
    <xf numFmtId="0" fontId="0" fillId="0" borderId="0" xfId="0">
      <alignment vertical="center"/>
    </xf>
    <xf numFmtId="0" fontId="3" fillId="0" borderId="0" xfId="0" applyFont="1" applyAlignment="1">
      <alignment vertical="center" wrapText="1" readingOrder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2" borderId="1" xfId="1" applyFont="1" applyBorder="1" applyAlignment="1">
      <alignment horizontal="left" vertical="center" wrapText="1" readingOrder="1"/>
    </xf>
    <xf numFmtId="0" fontId="6" fillId="2" borderId="1" xfId="1" applyFont="1" applyBorder="1" applyAlignment="1">
      <alignment horizontal="center" vertical="center" wrapText="1" readingOrder="1"/>
    </xf>
    <xf numFmtId="0" fontId="6" fillId="2" borderId="1" xfId="1" applyFont="1" applyBorder="1" applyAlignment="1">
      <alignment vertical="center" wrapText="1" readingOrder="1"/>
    </xf>
    <xf numFmtId="0" fontId="7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41" fontId="7" fillId="0" borderId="1" xfId="0" applyNumberFormat="1" applyFont="1" applyBorder="1" applyAlignment="1">
      <alignment vertical="center" wrapText="1" readingOrder="1"/>
    </xf>
    <xf numFmtId="41" fontId="8" fillId="0" borderId="1" xfId="0" applyNumberFormat="1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 readingOrder="1"/>
    </xf>
    <xf numFmtId="0" fontId="7" fillId="0" borderId="0" xfId="0" applyFont="1" applyAlignment="1">
      <alignment vertical="center" wrapText="1" readingOrder="1"/>
    </xf>
    <xf numFmtId="3" fontId="7" fillId="0" borderId="0" xfId="0" applyNumberFormat="1" applyFont="1" applyAlignment="1">
      <alignment vertical="center" wrapText="1" readingOrder="1"/>
    </xf>
    <xf numFmtId="3" fontId="8" fillId="0" borderId="0" xfId="0" applyNumberFormat="1" applyFont="1" applyAlignment="1">
      <alignment vertical="center" wrapText="1" readingOrder="1"/>
    </xf>
    <xf numFmtId="0" fontId="4" fillId="0" borderId="1" xfId="0" applyFont="1" applyBorder="1">
      <alignment vertical="center"/>
    </xf>
    <xf numFmtId="0" fontId="10" fillId="0" borderId="0" xfId="0" applyFont="1">
      <alignment vertical="center"/>
    </xf>
    <xf numFmtId="41" fontId="7" fillId="3" borderId="1" xfId="0" applyNumberFormat="1" applyFont="1" applyFill="1" applyBorder="1" applyAlignment="1">
      <alignment horizontal="center" vertical="center" readingOrder="1"/>
    </xf>
    <xf numFmtId="41" fontId="7" fillId="3" borderId="1" xfId="0" applyNumberFormat="1" applyFont="1" applyFill="1" applyBorder="1" applyAlignment="1">
      <alignment vertical="center" wrapText="1" readingOrder="1"/>
    </xf>
    <xf numFmtId="0" fontId="11" fillId="0" borderId="1" xfId="0" applyFont="1" applyBorder="1" applyAlignment="1">
      <alignment vertical="center" wrapText="1" readingOrder="1"/>
    </xf>
    <xf numFmtId="41" fontId="11" fillId="0" borderId="1" xfId="0" applyNumberFormat="1" applyFont="1" applyBorder="1" applyAlignment="1">
      <alignment horizontal="center" vertical="center" readingOrder="1"/>
    </xf>
    <xf numFmtId="41" fontId="11" fillId="0" borderId="0" xfId="0" applyNumberFormat="1" applyFont="1" applyAlignment="1">
      <alignment horizontal="center" vertical="center" readingOrder="1"/>
    </xf>
    <xf numFmtId="0" fontId="11" fillId="0" borderId="0" xfId="0" applyFont="1" applyAlignment="1">
      <alignment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7" fillId="0" borderId="2" xfId="0" applyFont="1" applyBorder="1" applyAlignment="1">
      <alignment horizontal="center" vertical="center" wrapText="1" readingOrder="1"/>
    </xf>
    <xf numFmtId="41" fontId="7" fillId="0" borderId="2" xfId="0" applyNumberFormat="1" applyFont="1" applyBorder="1" applyAlignment="1">
      <alignment vertical="center" wrapText="1" readingOrder="1"/>
    </xf>
    <xf numFmtId="41" fontId="8" fillId="0" borderId="2" xfId="0" applyNumberFormat="1" applyFont="1" applyBorder="1" applyAlignment="1">
      <alignment vertical="center" wrapText="1" readingOrder="1"/>
    </xf>
    <xf numFmtId="0" fontId="4" fillId="0" borderId="2" xfId="0" applyFont="1" applyBorder="1">
      <alignment vertical="center"/>
    </xf>
    <xf numFmtId="0" fontId="7" fillId="0" borderId="3" xfId="0" applyFont="1" applyBorder="1" applyAlignment="1">
      <alignment horizontal="center" vertical="center" wrapText="1" readingOrder="1"/>
    </xf>
    <xf numFmtId="41" fontId="7" fillId="0" borderId="3" xfId="0" applyNumberFormat="1" applyFont="1" applyBorder="1" applyAlignment="1">
      <alignment vertical="center" wrapText="1" readingOrder="1"/>
    </xf>
    <xf numFmtId="41" fontId="8" fillId="0" borderId="3" xfId="0" applyNumberFormat="1" applyFont="1" applyBorder="1" applyAlignment="1">
      <alignment vertical="center" wrapText="1" readingOrder="1"/>
    </xf>
    <xf numFmtId="0" fontId="7" fillId="0" borderId="3" xfId="0" applyFont="1" applyBorder="1" applyAlignment="1">
      <alignment vertical="center" wrapText="1" readingOrder="1"/>
    </xf>
    <xf numFmtId="0" fontId="4" fillId="0" borderId="3" xfId="0" applyFont="1" applyBorder="1">
      <alignment vertical="center"/>
    </xf>
    <xf numFmtId="0" fontId="7" fillId="0" borderId="4" xfId="0" applyFont="1" applyBorder="1" applyAlignment="1">
      <alignment horizontal="center" vertical="center" wrapText="1" readingOrder="1"/>
    </xf>
    <xf numFmtId="41" fontId="7" fillId="0" borderId="4" xfId="0" applyNumberFormat="1" applyFont="1" applyBorder="1" applyAlignment="1">
      <alignment vertical="center" wrapText="1" readingOrder="1"/>
    </xf>
    <xf numFmtId="41" fontId="8" fillId="0" borderId="4" xfId="0" applyNumberFormat="1" applyFont="1" applyBorder="1" applyAlignment="1">
      <alignment vertical="center" wrapText="1" readingOrder="1"/>
    </xf>
    <xf numFmtId="0" fontId="7" fillId="0" borderId="4" xfId="0" applyFont="1" applyBorder="1" applyAlignment="1">
      <alignment vertical="center" wrapText="1" readingOrder="1"/>
    </xf>
    <xf numFmtId="0" fontId="7" fillId="0" borderId="2" xfId="0" applyFont="1" applyBorder="1" applyAlignment="1">
      <alignment vertical="center" wrapText="1" readingOrder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41" fontId="11" fillId="0" borderId="1" xfId="0" applyNumberFormat="1" applyFont="1" applyBorder="1" applyAlignment="1">
      <alignment horizontal="center" vertical="center" wrapText="1" readingOrder="1"/>
    </xf>
    <xf numFmtId="41" fontId="11" fillId="0" borderId="0" xfId="0" applyNumberFormat="1" applyFont="1" applyAlignment="1">
      <alignment horizontal="center" vertical="center" wrapText="1" readingOrder="1"/>
    </xf>
    <xf numFmtId="3" fontId="7" fillId="0" borderId="0" xfId="0" applyNumberFormat="1" applyFont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41" fontId="12" fillId="0" borderId="1" xfId="0" applyNumberFormat="1" applyFont="1" applyBorder="1" applyAlignment="1">
      <alignment horizontal="center" vertical="center" wrapText="1" readingOrder="1"/>
    </xf>
    <xf numFmtId="41" fontId="13" fillId="0" borderId="1" xfId="2" applyNumberFormat="1" applyFill="1" applyBorder="1" applyAlignment="1">
      <alignment horizontal="center" vertical="center" wrapText="1" readingOrder="1"/>
    </xf>
    <xf numFmtId="41" fontId="11" fillId="0" borderId="2" xfId="0" applyNumberFormat="1" applyFont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center" vertical="center" wrapText="1" readingOrder="1"/>
    </xf>
    <xf numFmtId="41" fontId="12" fillId="0" borderId="2" xfId="0" applyNumberFormat="1" applyFont="1" applyBorder="1" applyAlignment="1">
      <alignment horizontal="center" vertical="center" wrapText="1" readingOrder="1"/>
    </xf>
    <xf numFmtId="41" fontId="13" fillId="0" borderId="2" xfId="2" applyNumberFormat="1" applyFill="1" applyBorder="1" applyAlignment="1">
      <alignment horizontal="center" vertical="center" wrapText="1" readingOrder="1"/>
    </xf>
    <xf numFmtId="0" fontId="11" fillId="0" borderId="2" xfId="0" applyFont="1" applyBorder="1" applyAlignment="1">
      <alignment vertical="center" wrapText="1" readingOrder="1"/>
    </xf>
    <xf numFmtId="41" fontId="11" fillId="0" borderId="3" xfId="0" applyNumberFormat="1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center" vertical="center" wrapText="1" readingOrder="1"/>
    </xf>
    <xf numFmtId="41" fontId="12" fillId="0" borderId="3" xfId="0" applyNumberFormat="1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vertical="center" wrapText="1" readingOrder="1"/>
    </xf>
    <xf numFmtId="41" fontId="11" fillId="0" borderId="4" xfId="0" applyNumberFormat="1" applyFont="1" applyBorder="1" applyAlignment="1">
      <alignment horizontal="center" vertical="center" wrapText="1" readingOrder="1"/>
    </xf>
    <xf numFmtId="0" fontId="11" fillId="0" borderId="4" xfId="0" applyFont="1" applyBorder="1" applyAlignment="1">
      <alignment horizontal="center" vertical="center" wrapText="1" readingOrder="1"/>
    </xf>
    <xf numFmtId="41" fontId="12" fillId="0" borderId="4" xfId="0" applyNumberFormat="1" applyFont="1" applyBorder="1" applyAlignment="1">
      <alignment horizontal="center" vertical="center" wrapText="1" readingOrder="1"/>
    </xf>
    <xf numFmtId="0" fontId="11" fillId="0" borderId="4" xfId="0" applyFont="1" applyBorder="1" applyAlignment="1">
      <alignment vertical="center" wrapText="1" readingOrder="1"/>
    </xf>
    <xf numFmtId="41" fontId="11" fillId="0" borderId="2" xfId="0" applyNumberFormat="1" applyFont="1" applyBorder="1" applyAlignment="1">
      <alignment horizontal="center" vertical="center" readingOrder="1"/>
    </xf>
    <xf numFmtId="41" fontId="11" fillId="0" borderId="3" xfId="0" applyNumberFormat="1" applyFont="1" applyBorder="1" applyAlignment="1">
      <alignment horizontal="center" vertical="center" readingOrder="1"/>
    </xf>
    <xf numFmtId="41" fontId="11" fillId="0" borderId="4" xfId="0" applyNumberFormat="1" applyFont="1" applyBorder="1" applyAlignment="1">
      <alignment horizontal="center" vertical="center" readingOrder="1"/>
    </xf>
    <xf numFmtId="41" fontId="13" fillId="0" borderId="3" xfId="2" applyNumberFormat="1" applyFill="1" applyBorder="1" applyAlignment="1">
      <alignment horizontal="center" vertical="center" wrapText="1" readingOrder="1"/>
    </xf>
    <xf numFmtId="41" fontId="13" fillId="0" borderId="4" xfId="2" applyNumberFormat="1" applyFill="1" applyBorder="1" applyAlignment="1">
      <alignment horizontal="center" vertical="center" wrapText="1" readingOrder="1"/>
    </xf>
    <xf numFmtId="0" fontId="7" fillId="0" borderId="5" xfId="0" applyFont="1" applyBorder="1" applyAlignment="1">
      <alignment horizontal="center" vertical="center" wrapText="1" readingOrder="1"/>
    </xf>
    <xf numFmtId="41" fontId="11" fillId="0" borderId="5" xfId="0" applyNumberFormat="1" applyFont="1" applyBorder="1" applyAlignment="1">
      <alignment horizontal="center" vertical="center" wrapText="1" readingOrder="1"/>
    </xf>
    <xf numFmtId="0" fontId="11" fillId="0" borderId="5" xfId="0" applyFont="1" applyBorder="1" applyAlignment="1">
      <alignment horizontal="center" vertical="center" wrapText="1" readingOrder="1"/>
    </xf>
    <xf numFmtId="41" fontId="12" fillId="0" borderId="5" xfId="0" applyNumberFormat="1" applyFont="1" applyBorder="1" applyAlignment="1">
      <alignment horizontal="center" vertical="center" wrapText="1" readingOrder="1"/>
    </xf>
    <xf numFmtId="41" fontId="11" fillId="0" borderId="5" xfId="0" applyNumberFormat="1" applyFont="1" applyBorder="1" applyAlignment="1">
      <alignment horizontal="center" vertical="center" readingOrder="1"/>
    </xf>
    <xf numFmtId="0" fontId="11" fillId="0" borderId="5" xfId="0" applyFont="1" applyBorder="1" applyAlignment="1">
      <alignment vertical="center" wrapText="1" readingOrder="1"/>
    </xf>
    <xf numFmtId="0" fontId="7" fillId="0" borderId="6" xfId="0" applyFont="1" applyBorder="1" applyAlignment="1">
      <alignment horizontal="center" vertical="center" wrapText="1" readingOrder="1"/>
    </xf>
    <xf numFmtId="41" fontId="11" fillId="0" borderId="6" xfId="0" applyNumberFormat="1" applyFont="1" applyBorder="1" applyAlignment="1">
      <alignment horizontal="center" vertical="center" wrapText="1" readingOrder="1"/>
    </xf>
    <xf numFmtId="41" fontId="13" fillId="0" borderId="6" xfId="2" applyNumberFormat="1" applyFill="1" applyBorder="1" applyAlignment="1">
      <alignment horizontal="center" vertical="center" wrapText="1" readingOrder="1"/>
    </xf>
    <xf numFmtId="0" fontId="11" fillId="0" borderId="6" xfId="0" applyFont="1" applyBorder="1" applyAlignment="1">
      <alignment vertical="center" wrapText="1" readingOrder="1"/>
    </xf>
    <xf numFmtId="41" fontId="7" fillId="0" borderId="0" xfId="0" applyNumberFormat="1" applyFont="1" applyAlignment="1">
      <alignment vertical="center" wrapText="1" readingOrder="1"/>
    </xf>
    <xf numFmtId="41" fontId="8" fillId="0" borderId="0" xfId="0" applyNumberFormat="1" applyFont="1" applyAlignment="1">
      <alignment vertical="center" wrapText="1" readingOrder="1"/>
    </xf>
    <xf numFmtId="0" fontId="14" fillId="0" borderId="0" xfId="0" applyFont="1">
      <alignment vertical="center"/>
    </xf>
    <xf numFmtId="41" fontId="8" fillId="4" borderId="3" xfId="0" applyNumberFormat="1" applyFont="1" applyFill="1" applyBorder="1" applyAlignment="1">
      <alignment vertical="center" wrapText="1" readingOrder="1"/>
    </xf>
    <xf numFmtId="41" fontId="8" fillId="4" borderId="4" xfId="0" applyNumberFormat="1" applyFont="1" applyFill="1" applyBorder="1" applyAlignment="1">
      <alignment vertical="center" wrapText="1" readingOrder="1"/>
    </xf>
    <xf numFmtId="0" fontId="15" fillId="0" borderId="0" xfId="0" applyFont="1">
      <alignment vertical="center"/>
    </xf>
    <xf numFmtId="13" fontId="8" fillId="0" borderId="4" xfId="0" quotePrefix="1" applyNumberFormat="1" applyFont="1" applyBorder="1" applyAlignment="1">
      <alignment horizontal="right" vertical="center" wrapText="1" readingOrder="1"/>
    </xf>
    <xf numFmtId="41" fontId="8" fillId="0" borderId="2" xfId="0" applyNumberFormat="1" applyFont="1" applyBorder="1" applyAlignment="1">
      <alignment horizontal="right" vertical="center" wrapText="1" readingOrder="1"/>
    </xf>
    <xf numFmtId="41" fontId="8" fillId="0" borderId="3" xfId="0" applyNumberFormat="1" applyFont="1" applyBorder="1" applyAlignment="1">
      <alignment horizontal="right" vertical="center" wrapText="1" readingOrder="1"/>
    </xf>
    <xf numFmtId="41" fontId="8" fillId="0" borderId="4" xfId="0" applyNumberFormat="1" applyFont="1" applyBorder="1" applyAlignment="1">
      <alignment horizontal="right" vertical="center" wrapText="1" readingOrder="1"/>
    </xf>
    <xf numFmtId="41" fontId="8" fillId="0" borderId="2" xfId="0" quotePrefix="1" applyNumberFormat="1" applyFont="1" applyBorder="1" applyAlignment="1">
      <alignment horizontal="right" vertical="center" wrapText="1" readingOrder="1"/>
    </xf>
    <xf numFmtId="41" fontId="8" fillId="0" borderId="3" xfId="0" quotePrefix="1" applyNumberFormat="1" applyFont="1" applyBorder="1" applyAlignment="1">
      <alignment horizontal="right" vertical="center" wrapText="1" readingOrder="1"/>
    </xf>
    <xf numFmtId="41" fontId="8" fillId="0" borderId="4" xfId="0" quotePrefix="1" applyNumberFormat="1" applyFont="1" applyBorder="1" applyAlignment="1">
      <alignment horizontal="right" vertical="center" wrapText="1" readingOrder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5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1" fontId="16" fillId="0" borderId="1" xfId="0" applyNumberFormat="1" applyFont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41" fontId="16" fillId="6" borderId="2" xfId="0" applyNumberFormat="1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41" fontId="16" fillId="6" borderId="3" xfId="0" applyNumberFormat="1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41" fontId="16" fillId="6" borderId="4" xfId="0" applyNumberFormat="1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41" fontId="16" fillId="7" borderId="2" xfId="0" applyNumberFormat="1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1" fontId="16" fillId="7" borderId="3" xfId="0" applyNumberFormat="1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41" fontId="16" fillId="7" borderId="4" xfId="0" applyNumberFormat="1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41" fontId="16" fillId="8" borderId="2" xfId="0" applyNumberFormat="1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41" fontId="16" fillId="8" borderId="3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41" fontId="16" fillId="8" borderId="4" xfId="0" applyNumberFormat="1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41" fontId="16" fillId="9" borderId="2" xfId="0" applyNumberFormat="1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41" fontId="16" fillId="9" borderId="3" xfId="0" applyNumberFormat="1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41" fontId="16" fillId="9" borderId="4" xfId="0" applyNumberFormat="1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41" fontId="16" fillId="10" borderId="2" xfId="0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41" fontId="16" fillId="10" borderId="3" xfId="0" applyNumberFormat="1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41" fontId="16" fillId="10" borderId="4" xfId="0" applyNumberFormat="1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41" fontId="16" fillId="11" borderId="2" xfId="0" applyNumberFormat="1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41" fontId="16" fillId="11" borderId="3" xfId="0" applyNumberFormat="1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/>
    </xf>
    <xf numFmtId="41" fontId="16" fillId="11" borderId="4" xfId="0" applyNumberFormat="1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41" fontId="16" fillId="12" borderId="2" xfId="0" applyNumberFormat="1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41" fontId="16" fillId="12" borderId="3" xfId="0" applyNumberFormat="1" applyFont="1" applyFill="1" applyBorder="1" applyAlignment="1">
      <alignment horizontal="center" vertical="center"/>
    </xf>
    <xf numFmtId="0" fontId="16" fillId="12" borderId="4" xfId="0" applyFont="1" applyFill="1" applyBorder="1" applyAlignment="1">
      <alignment horizontal="center" vertical="center"/>
    </xf>
    <xf numFmtId="41" fontId="16" fillId="12" borderId="4" xfId="0" applyNumberFormat="1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41" fontId="16" fillId="13" borderId="2" xfId="0" applyNumberFormat="1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41" fontId="16" fillId="13" borderId="3" xfId="0" applyNumberFormat="1" applyFont="1" applyFill="1" applyBorder="1" applyAlignment="1">
      <alignment horizontal="center" vertical="center"/>
    </xf>
    <xf numFmtId="0" fontId="16" fillId="13" borderId="4" xfId="0" applyFont="1" applyFill="1" applyBorder="1" applyAlignment="1">
      <alignment horizontal="center" vertical="center"/>
    </xf>
    <xf numFmtId="41" fontId="16" fillId="13" borderId="4" xfId="0" applyNumberFormat="1" applyFont="1" applyFill="1" applyBorder="1" applyAlignment="1">
      <alignment horizontal="center" vertical="center"/>
    </xf>
    <xf numFmtId="41" fontId="16" fillId="6" borderId="5" xfId="0" applyNumberFormat="1" applyFont="1" applyFill="1" applyBorder="1" applyAlignment="1">
      <alignment horizontal="center" vertical="center"/>
    </xf>
    <xf numFmtId="41" fontId="8" fillId="0" borderId="5" xfId="0" applyNumberFormat="1" applyFont="1" applyBorder="1" applyAlignment="1">
      <alignment vertical="center" wrapText="1" readingOrder="1"/>
    </xf>
    <xf numFmtId="0" fontId="6" fillId="14" borderId="1" xfId="1" applyFont="1" applyFill="1" applyBorder="1" applyAlignment="1">
      <alignment horizontal="center" vertical="center" wrapText="1" readingOrder="1"/>
    </xf>
    <xf numFmtId="9" fontId="14" fillId="0" borderId="0" xfId="0" applyNumberFormat="1" applyFont="1">
      <alignment vertical="center"/>
    </xf>
    <xf numFmtId="0" fontId="6" fillId="15" borderId="1" xfId="1" applyFont="1" applyFill="1" applyBorder="1" applyAlignment="1">
      <alignment horizontal="center" vertical="center" shrinkToFit="1" readingOrder="1"/>
    </xf>
    <xf numFmtId="0" fontId="6" fillId="16" borderId="1" xfId="1" applyFont="1" applyFill="1" applyBorder="1" applyAlignment="1">
      <alignment horizontal="center" vertical="center" wrapText="1" readingOrder="1"/>
    </xf>
    <xf numFmtId="0" fontId="6" fillId="16" borderId="1" xfId="1" applyFont="1" applyFill="1" applyBorder="1" applyAlignment="1">
      <alignment horizontal="center" vertical="center" shrinkToFit="1" readingOrder="1"/>
    </xf>
    <xf numFmtId="0" fontId="6" fillId="0" borderId="9" xfId="1" applyFont="1" applyFill="1" applyBorder="1" applyAlignment="1">
      <alignment horizontal="center" vertical="center" wrapText="1" readingOrder="1"/>
    </xf>
    <xf numFmtId="0" fontId="6" fillId="0" borderId="0" xfId="1" applyFont="1" applyFill="1" applyBorder="1" applyAlignment="1">
      <alignment horizontal="center" vertical="center" wrapText="1" readingOrder="1"/>
    </xf>
    <xf numFmtId="0" fontId="6" fillId="0" borderId="0" xfId="1" applyFont="1" applyFill="1" applyBorder="1" applyAlignment="1">
      <alignment horizontal="center" vertical="center" shrinkToFit="1" readingOrder="1"/>
    </xf>
    <xf numFmtId="41" fontId="8" fillId="0" borderId="9" xfId="0" applyNumberFormat="1" applyFont="1" applyBorder="1" applyAlignment="1">
      <alignment vertical="center" wrapText="1" readingOrder="1"/>
    </xf>
    <xf numFmtId="41" fontId="8" fillId="17" borderId="2" xfId="0" applyNumberFormat="1" applyFont="1" applyFill="1" applyBorder="1" applyAlignment="1">
      <alignment vertical="center" wrapText="1" readingOrder="1"/>
    </xf>
    <xf numFmtId="41" fontId="8" fillId="17" borderId="3" xfId="0" applyNumberFormat="1" applyFont="1" applyFill="1" applyBorder="1" applyAlignment="1">
      <alignment vertical="center" wrapText="1" readingOrder="1"/>
    </xf>
    <xf numFmtId="41" fontId="8" fillId="17" borderId="4" xfId="0" applyNumberFormat="1" applyFont="1" applyFill="1" applyBorder="1" applyAlignment="1">
      <alignment vertical="center" wrapText="1" readingOrder="1"/>
    </xf>
    <xf numFmtId="0" fontId="7" fillId="0" borderId="7" xfId="0" applyFont="1" applyBorder="1" applyAlignment="1">
      <alignment horizontal="center" vertical="center" wrapText="1" readingOrder="1"/>
    </xf>
    <xf numFmtId="0" fontId="7" fillId="0" borderId="8" xfId="0" applyFont="1" applyBorder="1" applyAlignment="1">
      <alignment horizontal="center" vertical="center" wrapText="1" readingOrder="1"/>
    </xf>
    <xf numFmtId="0" fontId="7" fillId="0" borderId="6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41" fontId="16" fillId="6" borderId="5" xfId="0" applyNumberFormat="1" applyFont="1" applyFill="1" applyBorder="1">
      <alignment vertical="center"/>
    </xf>
    <xf numFmtId="41" fontId="16" fillId="6" borderId="7" xfId="0" applyNumberFormat="1" applyFont="1" applyFill="1" applyBorder="1">
      <alignment vertical="center"/>
    </xf>
    <xf numFmtId="41" fontId="16" fillId="7" borderId="5" xfId="0" applyNumberFormat="1" applyFont="1" applyFill="1" applyBorder="1">
      <alignment vertical="center"/>
    </xf>
    <xf numFmtId="41" fontId="16" fillId="7" borderId="7" xfId="0" applyNumberFormat="1" applyFont="1" applyFill="1" applyBorder="1">
      <alignment vertical="center"/>
    </xf>
    <xf numFmtId="41" fontId="16" fillId="8" borderId="7" xfId="0" applyNumberFormat="1" applyFont="1" applyFill="1" applyBorder="1">
      <alignment vertical="center"/>
    </xf>
    <xf numFmtId="41" fontId="16" fillId="8" borderId="5" xfId="0" applyNumberFormat="1" applyFont="1" applyFill="1" applyBorder="1">
      <alignment vertical="center"/>
    </xf>
    <xf numFmtId="41" fontId="16" fillId="9" borderId="7" xfId="0" applyNumberFormat="1" applyFont="1" applyFill="1" applyBorder="1">
      <alignment vertical="center"/>
    </xf>
    <xf numFmtId="41" fontId="16" fillId="9" borderId="5" xfId="0" applyNumberFormat="1" applyFont="1" applyFill="1" applyBorder="1">
      <alignment vertical="center"/>
    </xf>
    <xf numFmtId="41" fontId="16" fillId="10" borderId="5" xfId="0" applyNumberFormat="1" applyFont="1" applyFill="1" applyBorder="1">
      <alignment vertical="center"/>
    </xf>
    <xf numFmtId="41" fontId="16" fillId="11" borderId="5" xfId="0" applyNumberFormat="1" applyFont="1" applyFill="1" applyBorder="1">
      <alignment vertical="center"/>
    </xf>
    <xf numFmtId="41" fontId="16" fillId="12" borderId="7" xfId="0" applyNumberFormat="1" applyFont="1" applyFill="1" applyBorder="1">
      <alignment vertical="center"/>
    </xf>
    <xf numFmtId="41" fontId="16" fillId="13" borderId="5" xfId="0" applyNumberFormat="1" applyFont="1" applyFill="1" applyBorder="1">
      <alignment vertical="center"/>
    </xf>
    <xf numFmtId="0" fontId="16" fillId="18" borderId="3" xfId="0" applyFont="1" applyFill="1" applyBorder="1" applyAlignment="1">
      <alignment horizontal="center" vertical="center"/>
    </xf>
    <xf numFmtId="41" fontId="16" fillId="18" borderId="3" xfId="0" applyNumberFormat="1" applyFont="1" applyFill="1" applyBorder="1" applyAlignment="1">
      <alignment horizontal="center" vertical="center"/>
    </xf>
    <xf numFmtId="41" fontId="16" fillId="18" borderId="5" xfId="0" applyNumberFormat="1" applyFont="1" applyFill="1" applyBorder="1">
      <alignment vertical="center"/>
    </xf>
    <xf numFmtId="41" fontId="16" fillId="4" borderId="3" xfId="0" applyNumberFormat="1" applyFont="1" applyFill="1" applyBorder="1" applyAlignment="1">
      <alignment horizontal="center" vertical="center"/>
    </xf>
    <xf numFmtId="41" fontId="8" fillId="4" borderId="2" xfId="0" applyNumberFormat="1" applyFont="1" applyFill="1" applyBorder="1" applyAlignment="1">
      <alignment vertical="center" wrapText="1" readingOrder="1"/>
    </xf>
    <xf numFmtId="41" fontId="8" fillId="18" borderId="2" xfId="0" applyNumberFormat="1" applyFont="1" applyFill="1" applyBorder="1" applyAlignment="1">
      <alignment vertical="center" wrapText="1" readingOrder="1"/>
    </xf>
    <xf numFmtId="0" fontId="6" fillId="14" borderId="1" xfId="1" applyFont="1" applyFill="1" applyBorder="1" applyAlignment="1">
      <alignment horizontal="center" vertical="center" shrinkToFit="1" readingOrder="1"/>
    </xf>
    <xf numFmtId="0" fontId="16" fillId="19" borderId="3" xfId="0" applyFont="1" applyFill="1" applyBorder="1" applyAlignment="1">
      <alignment horizontal="center" vertical="center"/>
    </xf>
    <xf numFmtId="41" fontId="16" fillId="19" borderId="3" xfId="0" applyNumberFormat="1" applyFont="1" applyFill="1" applyBorder="1" applyAlignment="1">
      <alignment horizontal="center" vertical="center"/>
    </xf>
    <xf numFmtId="41" fontId="8" fillId="19" borderId="2" xfId="0" applyNumberFormat="1" applyFont="1" applyFill="1" applyBorder="1" applyAlignment="1">
      <alignment vertical="center" wrapText="1" readingOrder="1"/>
    </xf>
    <xf numFmtId="41" fontId="16" fillId="19" borderId="5" xfId="0" applyNumberFormat="1" applyFont="1" applyFill="1" applyBorder="1">
      <alignment vertical="center"/>
    </xf>
  </cellXfs>
  <cellStyles count="3">
    <cellStyle name="강조색1" xfId="1" builtinId="29"/>
    <cellStyle name="표준" xfId="0" builtinId="0"/>
    <cellStyle name="하이퍼링크" xfId="2" builtinId="8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9999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youngbok@lotte.net" TargetMode="External"/><Relationship Id="rId13" Type="http://schemas.openxmlformats.org/officeDocument/2006/relationships/hyperlink" Target="mailto:jiwoo.park@kia.com" TargetMode="External"/><Relationship Id="rId18" Type="http://schemas.openxmlformats.org/officeDocument/2006/relationships/hyperlink" Target="mailto:eovud77@naver.com" TargetMode="External"/><Relationship Id="rId3" Type="http://schemas.openxmlformats.org/officeDocument/2006/relationships/hyperlink" Target="mailto:zoro122@sk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juhyun-ahn@naver.com" TargetMode="External"/><Relationship Id="rId12" Type="http://schemas.openxmlformats.org/officeDocument/2006/relationships/hyperlink" Target="mailto:purunsol0010@hanmail.net" TargetMode="External"/><Relationship Id="rId17" Type="http://schemas.openxmlformats.org/officeDocument/2006/relationships/hyperlink" Target="mailto:nicholas.choi@papamobility.com" TargetMode="External"/><Relationship Id="rId2" Type="http://schemas.openxmlformats.org/officeDocument/2006/relationships/hyperlink" Target="mailto:mario@jinmobility.com" TargetMode="External"/><Relationship Id="rId16" Type="http://schemas.openxmlformats.org/officeDocument/2006/relationships/hyperlink" Target="mailto:hnts4141@naver.com" TargetMode="External"/><Relationship Id="rId20" Type="http://schemas.openxmlformats.org/officeDocument/2006/relationships/hyperlink" Target="mailto:nicemeetyou@swisstour.co.kr" TargetMode="External"/><Relationship Id="rId1" Type="http://schemas.openxmlformats.org/officeDocument/2006/relationships/hyperlink" Target="mailto:ckkoreacom@naver.com" TargetMode="External"/><Relationship Id="rId6" Type="http://schemas.openxmlformats.org/officeDocument/2006/relationships/hyperlink" Target="mailto:rent3311@naver.com" TargetMode="External"/><Relationship Id="rId11" Type="http://schemas.openxmlformats.org/officeDocument/2006/relationships/hyperlink" Target="mailto:nicemeetyou@swisstour.co.kr" TargetMode="External"/><Relationship Id="rId5" Type="http://schemas.openxmlformats.org/officeDocument/2006/relationships/hyperlink" Target="mailto:gumatravel@nate.com" TargetMode="External"/><Relationship Id="rId15" Type="http://schemas.openxmlformats.org/officeDocument/2006/relationships/hyperlink" Target="mailto:ysanlee@daum.net" TargetMode="External"/><Relationship Id="rId10" Type="http://schemas.openxmlformats.org/officeDocument/2006/relationships/hyperlink" Target="mailto:jeju5333@naver.com" TargetMode="External"/><Relationship Id="rId19" Type="http://schemas.openxmlformats.org/officeDocument/2006/relationships/hyperlink" Target="mailto:ask@morethanescort.com" TargetMode="External"/><Relationship Id="rId4" Type="http://schemas.openxmlformats.org/officeDocument/2006/relationships/hyperlink" Target="mailto:gs15995599@hanmail.net" TargetMode="External"/><Relationship Id="rId9" Type="http://schemas.openxmlformats.org/officeDocument/2006/relationships/hyperlink" Target="mailto:limocenter@limoblack.co.kr" TargetMode="External"/><Relationship Id="rId14" Type="http://schemas.openxmlformats.org/officeDocument/2006/relationships/hyperlink" Target="mailto:op6678@daum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E8A7-41C4-49F6-B6C4-1ACFACFC840E}">
  <sheetPr>
    <pageSetUpPr fitToPage="1"/>
  </sheetPr>
  <dimension ref="A1:J112"/>
  <sheetViews>
    <sheetView view="pageBreakPreview" topLeftCell="A94" zoomScaleNormal="100" zoomScaleSheetLayoutView="100" workbookViewId="0">
      <selection activeCell="F96" sqref="F96"/>
    </sheetView>
  </sheetViews>
  <sheetFormatPr defaultRowHeight="16.899999999999999" x14ac:dyDescent="0.6"/>
  <cols>
    <col min="1" max="1" width="5.5625" style="25" customWidth="1"/>
    <col min="2" max="2" width="25.9375" customWidth="1"/>
    <col min="3" max="3" width="15.1875" style="25" bestFit="1" customWidth="1"/>
    <col min="4" max="4" width="10.3125" style="25" customWidth="1"/>
    <col min="5" max="5" width="9" style="25" customWidth="1"/>
    <col min="6" max="6" width="13.4375" style="25" bestFit="1" customWidth="1"/>
    <col min="7" max="7" width="15.5625" style="25" customWidth="1"/>
    <col min="8" max="8" width="32.3125" style="25" bestFit="1" customWidth="1"/>
    <col min="9" max="9" width="65.25" customWidth="1"/>
  </cols>
  <sheetData>
    <row r="1" spans="1:10" ht="22.05" customHeight="1" x14ac:dyDescent="0.6">
      <c r="A1" s="27" t="s">
        <v>71</v>
      </c>
      <c r="B1" s="16"/>
      <c r="C1" s="24"/>
      <c r="D1" s="24"/>
      <c r="E1" s="24"/>
      <c r="F1" s="24"/>
      <c r="G1" s="24"/>
      <c r="H1" s="24"/>
      <c r="I1" s="2"/>
    </row>
    <row r="2" spans="1:10" ht="22.05" customHeight="1" x14ac:dyDescent="0.6">
      <c r="A2" s="26" t="s">
        <v>78</v>
      </c>
      <c r="B2" s="3"/>
      <c r="C2" s="24"/>
      <c r="D2" s="24" t="s">
        <v>176</v>
      </c>
      <c r="E2" s="24"/>
      <c r="F2" s="24"/>
      <c r="G2" s="24"/>
      <c r="H2" s="24"/>
      <c r="I2" s="2"/>
    </row>
    <row r="3" spans="1:10" ht="22.05" customHeight="1" x14ac:dyDescent="0.6">
      <c r="A3" s="5" t="s">
        <v>119</v>
      </c>
      <c r="B3" s="5" t="s">
        <v>72</v>
      </c>
      <c r="C3" s="5" t="s">
        <v>2</v>
      </c>
      <c r="D3" s="5" t="s">
        <v>122</v>
      </c>
      <c r="E3" s="5" t="s">
        <v>77</v>
      </c>
      <c r="F3" s="5" t="s">
        <v>73</v>
      </c>
      <c r="G3" s="5" t="s">
        <v>74</v>
      </c>
      <c r="H3" s="5" t="s">
        <v>75</v>
      </c>
      <c r="I3" s="6" t="s">
        <v>76</v>
      </c>
    </row>
    <row r="4" spans="1:10" ht="22.05" customHeight="1" x14ac:dyDescent="0.6">
      <c r="A4" s="32">
        <v>1</v>
      </c>
      <c r="B4" s="32" t="s">
        <v>284</v>
      </c>
      <c r="C4" s="57" t="s">
        <v>4</v>
      </c>
      <c r="D4" s="58">
        <v>1</v>
      </c>
      <c r="E4" s="59" t="s">
        <v>139</v>
      </c>
      <c r="F4" s="57" t="s">
        <v>287</v>
      </c>
      <c r="G4" s="57" t="s">
        <v>290</v>
      </c>
      <c r="H4" s="57"/>
      <c r="I4" s="60" t="s">
        <v>316</v>
      </c>
    </row>
    <row r="5" spans="1:10" ht="22.05" customHeight="1" x14ac:dyDescent="0.6">
      <c r="A5" s="32">
        <v>2</v>
      </c>
      <c r="B5" s="32" t="s">
        <v>284</v>
      </c>
      <c r="C5" s="57" t="s">
        <v>4</v>
      </c>
      <c r="D5" s="58">
        <v>1</v>
      </c>
      <c r="E5" s="59" t="s">
        <v>139</v>
      </c>
      <c r="F5" s="57" t="s">
        <v>288</v>
      </c>
      <c r="G5" s="57" t="s">
        <v>314</v>
      </c>
      <c r="H5" s="57"/>
      <c r="I5" s="60" t="s">
        <v>317</v>
      </c>
    </row>
    <row r="6" spans="1:10" ht="22.05" customHeight="1" x14ac:dyDescent="0.6">
      <c r="A6" s="37">
        <v>3</v>
      </c>
      <c r="B6" s="37" t="s">
        <v>285</v>
      </c>
      <c r="C6" s="61" t="s">
        <v>286</v>
      </c>
      <c r="D6" s="62">
        <v>1</v>
      </c>
      <c r="E6" s="63" t="s">
        <v>139</v>
      </c>
      <c r="F6" s="61" t="s">
        <v>289</v>
      </c>
      <c r="G6" s="61" t="s">
        <v>315</v>
      </c>
      <c r="H6" s="61"/>
      <c r="I6" s="64" t="s">
        <v>318</v>
      </c>
    </row>
    <row r="7" spans="1:10" ht="22.05" customHeight="1" x14ac:dyDescent="0.6">
      <c r="A7" s="28">
        <v>4</v>
      </c>
      <c r="B7" s="28" t="s">
        <v>79</v>
      </c>
      <c r="C7" s="52" t="s">
        <v>4</v>
      </c>
      <c r="D7" s="53"/>
      <c r="E7" s="54" t="s">
        <v>139</v>
      </c>
      <c r="F7" s="52" t="s">
        <v>133</v>
      </c>
      <c r="G7" s="52" t="s">
        <v>140</v>
      </c>
      <c r="H7" s="55" t="s">
        <v>160</v>
      </c>
      <c r="I7" s="56"/>
    </row>
    <row r="8" spans="1:10" ht="22.05" customHeight="1" x14ac:dyDescent="0.6">
      <c r="A8" s="32">
        <v>5</v>
      </c>
      <c r="B8" s="32" t="s">
        <v>79</v>
      </c>
      <c r="C8" s="57" t="s">
        <v>32</v>
      </c>
      <c r="D8" s="58"/>
      <c r="E8" s="59" t="s">
        <v>139</v>
      </c>
      <c r="F8" s="57" t="s">
        <v>134</v>
      </c>
      <c r="G8" s="57" t="s">
        <v>141</v>
      </c>
      <c r="H8" s="57"/>
      <c r="I8" s="60"/>
    </row>
    <row r="9" spans="1:10" ht="22.05" customHeight="1" x14ac:dyDescent="0.6">
      <c r="A9" s="32">
        <v>6</v>
      </c>
      <c r="B9" s="32" t="s">
        <v>79</v>
      </c>
      <c r="C9" s="57" t="s">
        <v>120</v>
      </c>
      <c r="D9" s="58">
        <v>1</v>
      </c>
      <c r="E9" s="59" t="s">
        <v>139</v>
      </c>
      <c r="F9" s="57"/>
      <c r="G9" s="57" t="s">
        <v>291</v>
      </c>
      <c r="H9" s="57"/>
      <c r="I9" s="60"/>
    </row>
    <row r="10" spans="1:10" ht="22.05" customHeight="1" x14ac:dyDescent="0.6">
      <c r="A10" s="37">
        <v>7</v>
      </c>
      <c r="B10" s="37" t="s">
        <v>79</v>
      </c>
      <c r="C10" s="61" t="s">
        <v>127</v>
      </c>
      <c r="D10" s="62">
        <v>1</v>
      </c>
      <c r="E10" s="63" t="s">
        <v>139</v>
      </c>
      <c r="F10" s="61"/>
      <c r="G10" s="61" t="s">
        <v>292</v>
      </c>
      <c r="H10" s="61"/>
      <c r="I10" s="64" t="s">
        <v>179</v>
      </c>
    </row>
    <row r="11" spans="1:10" ht="22.05" customHeight="1" x14ac:dyDescent="0.6">
      <c r="A11" s="28">
        <v>8</v>
      </c>
      <c r="B11" s="28" t="s">
        <v>85</v>
      </c>
      <c r="C11" s="52" t="s">
        <v>21</v>
      </c>
      <c r="D11" s="53"/>
      <c r="E11" s="54" t="s">
        <v>139</v>
      </c>
      <c r="F11" s="52" t="s">
        <v>136</v>
      </c>
      <c r="G11" s="52" t="s">
        <v>145</v>
      </c>
      <c r="H11" s="52"/>
      <c r="I11" s="56"/>
    </row>
    <row r="12" spans="1:10" ht="22.05" customHeight="1" x14ac:dyDescent="0.6">
      <c r="A12" s="32">
        <v>9</v>
      </c>
      <c r="B12" s="32" t="s">
        <v>85</v>
      </c>
      <c r="C12" s="57" t="s">
        <v>121</v>
      </c>
      <c r="D12" s="58"/>
      <c r="E12" s="59" t="s">
        <v>139</v>
      </c>
      <c r="F12" s="57"/>
      <c r="G12" s="57" t="s">
        <v>293</v>
      </c>
      <c r="H12" s="57"/>
      <c r="I12" s="60"/>
    </row>
    <row r="13" spans="1:10" ht="22.05" customHeight="1" x14ac:dyDescent="0.6">
      <c r="A13" s="32">
        <v>10</v>
      </c>
      <c r="B13" s="32" t="s">
        <v>85</v>
      </c>
      <c r="C13" s="57" t="s">
        <v>33</v>
      </c>
      <c r="D13" s="58"/>
      <c r="E13" s="59" t="s">
        <v>177</v>
      </c>
      <c r="F13" s="57"/>
      <c r="G13" s="57" t="s">
        <v>294</v>
      </c>
      <c r="H13" s="57"/>
      <c r="I13" s="60"/>
    </row>
    <row r="14" spans="1:10" ht="22.05" customHeight="1" x14ac:dyDescent="0.6">
      <c r="A14" s="37">
        <v>11</v>
      </c>
      <c r="B14" s="37" t="s">
        <v>85</v>
      </c>
      <c r="C14" s="61" t="s">
        <v>32</v>
      </c>
      <c r="D14" s="62"/>
      <c r="E14" s="63" t="s">
        <v>177</v>
      </c>
      <c r="F14" s="61"/>
      <c r="G14" s="61" t="s">
        <v>295</v>
      </c>
      <c r="H14" s="61"/>
      <c r="I14" s="64"/>
    </row>
    <row r="15" spans="1:10" ht="22.05" customHeight="1" x14ac:dyDescent="0.6">
      <c r="A15" s="28">
        <v>12</v>
      </c>
      <c r="B15" s="28" t="s">
        <v>110</v>
      </c>
      <c r="C15" s="52" t="s">
        <v>34</v>
      </c>
      <c r="D15" s="53"/>
      <c r="E15" s="54" t="s">
        <v>139</v>
      </c>
      <c r="F15" s="65" t="s">
        <v>155</v>
      </c>
      <c r="G15" s="52" t="s">
        <v>158</v>
      </c>
      <c r="H15" s="52"/>
      <c r="I15" s="56" t="s">
        <v>159</v>
      </c>
      <c r="J15" s="1"/>
    </row>
    <row r="16" spans="1:10" ht="22.05" customHeight="1" x14ac:dyDescent="0.6">
      <c r="A16" s="37">
        <v>13</v>
      </c>
      <c r="B16" s="37" t="s">
        <v>110</v>
      </c>
      <c r="C16" s="61" t="s">
        <v>21</v>
      </c>
      <c r="D16" s="62"/>
      <c r="E16" s="61"/>
      <c r="F16" s="67" t="s">
        <v>156</v>
      </c>
      <c r="G16" s="61" t="s">
        <v>157</v>
      </c>
      <c r="H16" s="61"/>
      <c r="I16" s="64" t="s">
        <v>181</v>
      </c>
      <c r="J16" s="1"/>
    </row>
    <row r="17" spans="1:10" ht="22.05" customHeight="1" x14ac:dyDescent="0.6">
      <c r="A17" s="28">
        <v>14</v>
      </c>
      <c r="B17" s="28" t="s">
        <v>92</v>
      </c>
      <c r="C17" s="52" t="s">
        <v>120</v>
      </c>
      <c r="D17" s="53"/>
      <c r="E17" s="54" t="s">
        <v>177</v>
      </c>
      <c r="F17" s="65" t="s">
        <v>137</v>
      </c>
      <c r="G17" s="52" t="s">
        <v>146</v>
      </c>
      <c r="H17" s="52"/>
      <c r="I17" s="56"/>
      <c r="J17" s="1"/>
    </row>
    <row r="18" spans="1:10" ht="22.05" customHeight="1" x14ac:dyDescent="0.6">
      <c r="A18" s="32">
        <v>15</v>
      </c>
      <c r="B18" s="32" t="s">
        <v>92</v>
      </c>
      <c r="C18" s="57" t="s">
        <v>34</v>
      </c>
      <c r="D18" s="58"/>
      <c r="E18" s="59" t="s">
        <v>177</v>
      </c>
      <c r="F18" s="66"/>
      <c r="G18" s="57" t="s">
        <v>296</v>
      </c>
      <c r="H18" s="57"/>
      <c r="I18" s="60"/>
      <c r="J18" s="1"/>
    </row>
    <row r="19" spans="1:10" ht="22.05" customHeight="1" x14ac:dyDescent="0.6">
      <c r="A19" s="32">
        <v>16</v>
      </c>
      <c r="B19" s="32" t="s">
        <v>92</v>
      </c>
      <c r="C19" s="57" t="s">
        <v>123</v>
      </c>
      <c r="D19" s="58"/>
      <c r="E19" s="59" t="s">
        <v>139</v>
      </c>
      <c r="F19" s="66"/>
      <c r="G19" s="57" t="s">
        <v>297</v>
      </c>
      <c r="H19" s="57"/>
      <c r="I19" s="60"/>
      <c r="J19" s="1"/>
    </row>
    <row r="20" spans="1:10" ht="22.05" customHeight="1" x14ac:dyDescent="0.6">
      <c r="A20" s="32">
        <v>17</v>
      </c>
      <c r="B20" s="32" t="s">
        <v>92</v>
      </c>
      <c r="C20" s="57" t="s">
        <v>124</v>
      </c>
      <c r="D20" s="58"/>
      <c r="E20" s="59" t="s">
        <v>139</v>
      </c>
      <c r="F20" s="66"/>
      <c r="G20" s="57" t="s">
        <v>298</v>
      </c>
      <c r="H20" s="57"/>
      <c r="I20" s="60"/>
      <c r="J20" s="1"/>
    </row>
    <row r="21" spans="1:10" ht="22.05" customHeight="1" x14ac:dyDescent="0.6">
      <c r="A21" s="70">
        <v>18</v>
      </c>
      <c r="B21" s="70" t="s">
        <v>275</v>
      </c>
      <c r="C21" s="71" t="s">
        <v>276</v>
      </c>
      <c r="D21" s="72"/>
      <c r="E21" s="73" t="s">
        <v>138</v>
      </c>
      <c r="F21" s="74"/>
      <c r="G21" s="71" t="s">
        <v>299</v>
      </c>
      <c r="H21" s="71"/>
      <c r="I21" s="75"/>
      <c r="J21" s="1"/>
    </row>
    <row r="22" spans="1:10" ht="22.05" customHeight="1" x14ac:dyDescent="0.6">
      <c r="A22" s="37">
        <v>19</v>
      </c>
      <c r="B22" s="37" t="s">
        <v>92</v>
      </c>
      <c r="C22" s="61" t="s">
        <v>127</v>
      </c>
      <c r="D22" s="62"/>
      <c r="E22" s="63" t="s">
        <v>139</v>
      </c>
      <c r="F22" s="67"/>
      <c r="G22" s="61" t="s">
        <v>300</v>
      </c>
      <c r="H22" s="61"/>
      <c r="I22" s="64" t="s">
        <v>283</v>
      </c>
      <c r="J22" s="1"/>
    </row>
    <row r="23" spans="1:10" ht="22.05" customHeight="1" x14ac:dyDescent="0.6">
      <c r="A23" s="8">
        <v>20</v>
      </c>
      <c r="B23" s="8" t="s">
        <v>80</v>
      </c>
      <c r="C23" s="46" t="s">
        <v>4</v>
      </c>
      <c r="D23" s="49"/>
      <c r="E23" s="50" t="s">
        <v>177</v>
      </c>
      <c r="F23" s="46" t="s">
        <v>135</v>
      </c>
      <c r="G23" s="46" t="s">
        <v>142</v>
      </c>
      <c r="H23" s="51" t="s">
        <v>165</v>
      </c>
      <c r="I23" s="19"/>
      <c r="J23" s="1"/>
    </row>
    <row r="24" spans="1:10" ht="22.05" customHeight="1" x14ac:dyDescent="0.6">
      <c r="A24" s="8">
        <v>21</v>
      </c>
      <c r="B24" s="8" t="s">
        <v>81</v>
      </c>
      <c r="C24" s="46" t="s">
        <v>4</v>
      </c>
      <c r="D24" s="49"/>
      <c r="E24" s="50" t="s">
        <v>178</v>
      </c>
      <c r="F24" s="46" t="s">
        <v>143</v>
      </c>
      <c r="G24" s="46" t="s">
        <v>144</v>
      </c>
      <c r="H24" s="51" t="s">
        <v>169</v>
      </c>
      <c r="I24" s="19"/>
      <c r="J24" s="1"/>
    </row>
    <row r="25" spans="1:10" ht="22.05" customHeight="1" x14ac:dyDescent="0.6">
      <c r="A25" s="28">
        <v>22</v>
      </c>
      <c r="B25" s="28" t="s">
        <v>93</v>
      </c>
      <c r="C25" s="52" t="s">
        <v>120</v>
      </c>
      <c r="D25" s="53"/>
      <c r="E25" s="54" t="s">
        <v>178</v>
      </c>
      <c r="F25" s="65" t="s">
        <v>147</v>
      </c>
      <c r="G25" s="52" t="s">
        <v>148</v>
      </c>
      <c r="H25" s="52"/>
      <c r="I25" s="56"/>
      <c r="J25" s="1"/>
    </row>
    <row r="26" spans="1:10" ht="22.05" customHeight="1" x14ac:dyDescent="0.6">
      <c r="A26" s="37">
        <v>23</v>
      </c>
      <c r="B26" s="37" t="s">
        <v>93</v>
      </c>
      <c r="C26" s="61" t="s">
        <v>123</v>
      </c>
      <c r="D26" s="62"/>
      <c r="E26" s="63" t="s">
        <v>177</v>
      </c>
      <c r="F26" s="67"/>
      <c r="G26" s="61" t="s">
        <v>301</v>
      </c>
      <c r="H26" s="61"/>
      <c r="I26" s="64"/>
      <c r="J26" s="1"/>
    </row>
    <row r="27" spans="1:10" ht="22.05" customHeight="1" x14ac:dyDescent="0.6">
      <c r="A27" s="28">
        <v>24</v>
      </c>
      <c r="B27" s="28" t="s">
        <v>100</v>
      </c>
      <c r="C27" s="52" t="s">
        <v>125</v>
      </c>
      <c r="D27" s="53"/>
      <c r="E27" s="52"/>
      <c r="F27" s="65" t="s">
        <v>149</v>
      </c>
      <c r="G27" s="52" t="s">
        <v>150</v>
      </c>
      <c r="H27" s="52"/>
      <c r="I27" s="56"/>
      <c r="J27" s="1"/>
    </row>
    <row r="28" spans="1:10" ht="22.05" customHeight="1" x14ac:dyDescent="0.6">
      <c r="A28" s="32">
        <v>25</v>
      </c>
      <c r="B28" s="32" t="s">
        <v>100</v>
      </c>
      <c r="C28" s="57" t="s">
        <v>4</v>
      </c>
      <c r="D28" s="58"/>
      <c r="E28" s="57"/>
      <c r="F28" s="66" t="s">
        <v>151</v>
      </c>
      <c r="G28" s="57" t="s">
        <v>152</v>
      </c>
      <c r="H28" s="57"/>
      <c r="I28" s="60"/>
      <c r="J28" s="1"/>
    </row>
    <row r="29" spans="1:10" ht="22.05" customHeight="1" x14ac:dyDescent="0.6">
      <c r="A29" s="32">
        <v>26</v>
      </c>
      <c r="B29" s="32" t="s">
        <v>100</v>
      </c>
      <c r="C29" s="57" t="s">
        <v>120</v>
      </c>
      <c r="D29" s="58"/>
      <c r="E29" s="57"/>
      <c r="F29" s="66"/>
      <c r="G29" s="57" t="s">
        <v>302</v>
      </c>
      <c r="H29" s="57"/>
      <c r="I29" s="60"/>
      <c r="J29" s="1"/>
    </row>
    <row r="30" spans="1:10" ht="22.05" customHeight="1" x14ac:dyDescent="0.6">
      <c r="A30" s="32">
        <v>27</v>
      </c>
      <c r="B30" s="32" t="s">
        <v>100</v>
      </c>
      <c r="C30" s="57" t="s">
        <v>126</v>
      </c>
      <c r="D30" s="58"/>
      <c r="E30" s="57"/>
      <c r="F30" s="66"/>
      <c r="G30" s="57" t="s">
        <v>303</v>
      </c>
      <c r="H30" s="57"/>
      <c r="I30" s="60"/>
      <c r="J30" s="1"/>
    </row>
    <row r="31" spans="1:10" ht="22.05" customHeight="1" x14ac:dyDescent="0.6">
      <c r="A31" s="32">
        <v>28</v>
      </c>
      <c r="B31" s="32" t="s">
        <v>100</v>
      </c>
      <c r="C31" s="57" t="s">
        <v>21</v>
      </c>
      <c r="D31" s="58"/>
      <c r="E31" s="57"/>
      <c r="F31" s="66"/>
      <c r="G31" s="57" t="s">
        <v>304</v>
      </c>
      <c r="H31" s="57"/>
      <c r="I31" s="60"/>
      <c r="J31" s="1"/>
    </row>
    <row r="32" spans="1:10" ht="22.05" customHeight="1" x14ac:dyDescent="0.6">
      <c r="A32" s="32">
        <v>29</v>
      </c>
      <c r="B32" s="32" t="s">
        <v>100</v>
      </c>
      <c r="C32" s="57" t="s">
        <v>32</v>
      </c>
      <c r="D32" s="58"/>
      <c r="E32" s="57"/>
      <c r="F32" s="66"/>
      <c r="G32" s="57" t="s">
        <v>305</v>
      </c>
      <c r="H32" s="57"/>
      <c r="I32" s="60"/>
      <c r="J32" s="1"/>
    </row>
    <row r="33" spans="1:10" ht="22.05" customHeight="1" x14ac:dyDescent="0.6">
      <c r="A33" s="32">
        <v>30</v>
      </c>
      <c r="B33" s="32" t="s">
        <v>100</v>
      </c>
      <c r="C33" s="57" t="s">
        <v>127</v>
      </c>
      <c r="D33" s="58"/>
      <c r="E33" s="57"/>
      <c r="F33" s="66"/>
      <c r="G33" s="57" t="s">
        <v>306</v>
      </c>
      <c r="H33" s="57"/>
      <c r="I33" s="60"/>
      <c r="J33" s="1"/>
    </row>
    <row r="34" spans="1:10" ht="22.05" customHeight="1" x14ac:dyDescent="0.6">
      <c r="A34" s="32">
        <v>31</v>
      </c>
      <c r="B34" s="32" t="s">
        <v>100</v>
      </c>
      <c r="C34" s="57" t="s">
        <v>34</v>
      </c>
      <c r="D34" s="58"/>
      <c r="E34" s="57"/>
      <c r="F34" s="66"/>
      <c r="G34" s="57" t="s">
        <v>307</v>
      </c>
      <c r="H34" s="57"/>
      <c r="I34" s="60"/>
      <c r="J34" s="1"/>
    </row>
    <row r="35" spans="1:10" ht="22.05" customHeight="1" x14ac:dyDescent="0.6">
      <c r="A35" s="37">
        <v>32</v>
      </c>
      <c r="B35" s="37" t="s">
        <v>100</v>
      </c>
      <c r="C35" s="61" t="s">
        <v>35</v>
      </c>
      <c r="D35" s="62"/>
      <c r="E35" s="61"/>
      <c r="F35" s="67"/>
      <c r="G35" s="61" t="s">
        <v>308</v>
      </c>
      <c r="H35" s="61"/>
      <c r="I35" s="64"/>
      <c r="J35" s="1"/>
    </row>
    <row r="36" spans="1:10" ht="21.75" customHeight="1" x14ac:dyDescent="0.6">
      <c r="A36" s="28">
        <v>33</v>
      </c>
      <c r="B36" s="28" t="s">
        <v>106</v>
      </c>
      <c r="C36" s="52" t="s">
        <v>4</v>
      </c>
      <c r="D36" s="53"/>
      <c r="E36" s="52"/>
      <c r="F36" s="65" t="s">
        <v>153</v>
      </c>
      <c r="G36" s="52" t="s">
        <v>154</v>
      </c>
      <c r="H36" s="52"/>
      <c r="I36" s="56" t="s">
        <v>180</v>
      </c>
      <c r="J36" s="1"/>
    </row>
    <row r="37" spans="1:10" ht="21.75" customHeight="1" x14ac:dyDescent="0.6">
      <c r="A37" s="32">
        <v>34</v>
      </c>
      <c r="B37" s="32" t="s">
        <v>106</v>
      </c>
      <c r="C37" s="57" t="s">
        <v>21</v>
      </c>
      <c r="D37" s="58"/>
      <c r="E37" s="57"/>
      <c r="F37" s="66"/>
      <c r="G37" s="57" t="s">
        <v>309</v>
      </c>
      <c r="H37" s="57"/>
      <c r="I37" s="60"/>
      <c r="J37" s="1"/>
    </row>
    <row r="38" spans="1:10" ht="21.75" customHeight="1" x14ac:dyDescent="0.6">
      <c r="A38" s="32">
        <v>35</v>
      </c>
      <c r="B38" s="32" t="s">
        <v>106</v>
      </c>
      <c r="C38" s="57" t="s">
        <v>34</v>
      </c>
      <c r="D38" s="58"/>
      <c r="E38" s="57"/>
      <c r="F38" s="66"/>
      <c r="G38" s="57" t="s">
        <v>310</v>
      </c>
      <c r="H38" s="57"/>
      <c r="I38" s="60"/>
      <c r="J38" s="1"/>
    </row>
    <row r="39" spans="1:10" ht="21.75" customHeight="1" x14ac:dyDescent="0.6">
      <c r="A39" s="37">
        <v>36</v>
      </c>
      <c r="B39" s="37" t="s">
        <v>106</v>
      </c>
      <c r="C39" s="61" t="s">
        <v>35</v>
      </c>
      <c r="D39" s="62"/>
      <c r="E39" s="61"/>
      <c r="F39" s="67"/>
      <c r="G39" s="61" t="s">
        <v>311</v>
      </c>
      <c r="H39" s="61"/>
      <c r="I39" s="64"/>
      <c r="J39" s="1"/>
    </row>
    <row r="40" spans="1:10" ht="22.05" customHeight="1" x14ac:dyDescent="0.6">
      <c r="A40" s="28">
        <v>37</v>
      </c>
      <c r="B40" s="28" t="s">
        <v>128</v>
      </c>
      <c r="C40" s="52" t="s">
        <v>21</v>
      </c>
      <c r="D40" s="53">
        <v>200</v>
      </c>
      <c r="E40" s="52"/>
      <c r="F40" s="65" t="s">
        <v>129</v>
      </c>
      <c r="G40" s="52" t="s">
        <v>130</v>
      </c>
      <c r="H40" s="52"/>
      <c r="I40" s="56" t="s">
        <v>182</v>
      </c>
      <c r="J40" s="1"/>
    </row>
    <row r="41" spans="1:10" ht="22.05" customHeight="1" x14ac:dyDescent="0.6">
      <c r="A41" s="32">
        <v>38</v>
      </c>
      <c r="B41" s="32" t="s">
        <v>128</v>
      </c>
      <c r="C41" s="57" t="s">
        <v>33</v>
      </c>
      <c r="D41" s="58">
        <v>50</v>
      </c>
      <c r="E41" s="57"/>
      <c r="F41" s="66"/>
      <c r="G41" s="57" t="s">
        <v>312</v>
      </c>
      <c r="H41" s="57"/>
      <c r="I41" s="60"/>
      <c r="J41" s="1"/>
    </row>
    <row r="42" spans="1:10" ht="22.05" customHeight="1" x14ac:dyDescent="0.6">
      <c r="A42" s="37">
        <v>39</v>
      </c>
      <c r="B42" s="37" t="s">
        <v>128</v>
      </c>
      <c r="C42" s="61" t="s">
        <v>32</v>
      </c>
      <c r="D42" s="62">
        <v>60</v>
      </c>
      <c r="E42" s="61"/>
      <c r="F42" s="67"/>
      <c r="G42" s="61" t="s">
        <v>313</v>
      </c>
      <c r="H42" s="61"/>
      <c r="I42" s="64"/>
      <c r="J42" s="1"/>
    </row>
    <row r="43" spans="1:10" ht="22.05" customHeight="1" x14ac:dyDescent="0.6">
      <c r="A43" s="23"/>
      <c r="B43" s="12"/>
      <c r="C43" s="47"/>
      <c r="D43" s="47"/>
      <c r="E43" s="47"/>
      <c r="F43" s="21"/>
      <c r="G43" s="47"/>
      <c r="H43" s="47"/>
      <c r="I43" s="22"/>
    </row>
    <row r="44" spans="1:10" ht="22.05" customHeight="1" x14ac:dyDescent="0.6">
      <c r="A44" s="26" t="s">
        <v>82</v>
      </c>
      <c r="B44" s="3"/>
      <c r="C44" s="24"/>
      <c r="D44" s="24"/>
      <c r="E44" s="24"/>
      <c r="F44" s="24"/>
      <c r="G44" s="24"/>
      <c r="H44" s="24"/>
      <c r="I44" s="2"/>
    </row>
    <row r="45" spans="1:10" ht="22.05" customHeight="1" x14ac:dyDescent="0.6">
      <c r="A45" s="5" t="s">
        <v>119</v>
      </c>
      <c r="B45" s="5" t="s">
        <v>72</v>
      </c>
      <c r="C45" s="5" t="s">
        <v>2</v>
      </c>
      <c r="D45" s="5" t="s">
        <v>122</v>
      </c>
      <c r="E45" s="5" t="s">
        <v>77</v>
      </c>
      <c r="F45" s="5" t="s">
        <v>73</v>
      </c>
      <c r="G45" s="5" t="s">
        <v>74</v>
      </c>
      <c r="H45" s="5" t="s">
        <v>75</v>
      </c>
      <c r="I45" s="6" t="s">
        <v>76</v>
      </c>
    </row>
    <row r="46" spans="1:10" ht="22.05" customHeight="1" x14ac:dyDescent="0.6">
      <c r="A46" s="28">
        <v>1</v>
      </c>
      <c r="B46" s="28" t="s">
        <v>83</v>
      </c>
      <c r="C46" s="52" t="s">
        <v>4</v>
      </c>
      <c r="D46" s="52"/>
      <c r="E46" s="52" t="s">
        <v>138</v>
      </c>
      <c r="F46" s="52" t="s">
        <v>183</v>
      </c>
      <c r="G46" s="52" t="s">
        <v>184</v>
      </c>
      <c r="H46" s="52"/>
      <c r="I46" s="56"/>
    </row>
    <row r="47" spans="1:10" ht="22.05" customHeight="1" x14ac:dyDescent="0.6">
      <c r="A47" s="32">
        <v>2</v>
      </c>
      <c r="B47" s="32" t="s">
        <v>83</v>
      </c>
      <c r="C47" s="57" t="s">
        <v>32</v>
      </c>
      <c r="D47" s="57"/>
      <c r="E47" s="57" t="s">
        <v>138</v>
      </c>
      <c r="F47" s="57"/>
      <c r="G47" s="57"/>
      <c r="H47" s="57"/>
      <c r="I47" s="60"/>
    </row>
    <row r="48" spans="1:10" ht="22.05" customHeight="1" x14ac:dyDescent="0.6">
      <c r="A48" s="32">
        <v>3</v>
      </c>
      <c r="B48" s="32" t="s">
        <v>83</v>
      </c>
      <c r="C48" s="57" t="s">
        <v>32</v>
      </c>
      <c r="D48" s="57"/>
      <c r="E48" s="57" t="s">
        <v>138</v>
      </c>
      <c r="F48" s="57"/>
      <c r="G48" s="57"/>
      <c r="H48" s="57"/>
      <c r="I48" s="60"/>
    </row>
    <row r="49" spans="1:10" ht="22.05" customHeight="1" x14ac:dyDescent="0.6">
      <c r="A49" s="32">
        <v>4</v>
      </c>
      <c r="B49" s="32" t="s">
        <v>83</v>
      </c>
      <c r="C49" s="57" t="s">
        <v>21</v>
      </c>
      <c r="D49" s="57"/>
      <c r="E49" s="57" t="s">
        <v>138</v>
      </c>
      <c r="F49" s="57"/>
      <c r="G49" s="57"/>
      <c r="H49" s="57"/>
      <c r="I49" s="60"/>
    </row>
    <row r="50" spans="1:10" ht="22.05" customHeight="1" x14ac:dyDescent="0.6">
      <c r="A50" s="32">
        <v>5</v>
      </c>
      <c r="B50" s="32" t="s">
        <v>83</v>
      </c>
      <c r="C50" s="57" t="s">
        <v>34</v>
      </c>
      <c r="D50" s="57"/>
      <c r="E50" s="57" t="s">
        <v>138</v>
      </c>
      <c r="F50" s="57"/>
      <c r="G50" s="57"/>
      <c r="H50" s="57"/>
      <c r="I50" s="60"/>
    </row>
    <row r="51" spans="1:10" ht="22.05" customHeight="1" x14ac:dyDescent="0.6">
      <c r="A51" s="37">
        <v>6</v>
      </c>
      <c r="B51" s="37" t="s">
        <v>83</v>
      </c>
      <c r="C51" s="61" t="s">
        <v>123</v>
      </c>
      <c r="D51" s="61"/>
      <c r="E51" s="61" t="s">
        <v>138</v>
      </c>
      <c r="F51" s="67"/>
      <c r="G51" s="61"/>
      <c r="H51" s="61"/>
      <c r="I51" s="64"/>
      <c r="J51" s="1"/>
    </row>
    <row r="52" spans="1:10" ht="22.05" customHeight="1" x14ac:dyDescent="0.6">
      <c r="A52" s="23"/>
      <c r="B52" s="12"/>
      <c r="C52" s="23"/>
      <c r="D52" s="23"/>
      <c r="E52" s="48"/>
      <c r="F52" s="48"/>
      <c r="G52" s="48"/>
      <c r="H52" s="48"/>
      <c r="I52" s="12"/>
    </row>
    <row r="53" spans="1:10" ht="22.05" customHeight="1" x14ac:dyDescent="0.6">
      <c r="A53" s="26" t="s">
        <v>87</v>
      </c>
      <c r="B53" s="3"/>
      <c r="C53" s="24"/>
      <c r="D53" s="24"/>
      <c r="E53" s="24"/>
      <c r="F53" s="24"/>
      <c r="G53" s="24"/>
      <c r="H53" s="24"/>
      <c r="I53" s="2"/>
    </row>
    <row r="54" spans="1:10" ht="22.05" customHeight="1" x14ac:dyDescent="0.6">
      <c r="A54" s="5" t="s">
        <v>119</v>
      </c>
      <c r="B54" s="5" t="s">
        <v>72</v>
      </c>
      <c r="C54" s="5" t="s">
        <v>2</v>
      </c>
      <c r="D54" s="5" t="s">
        <v>122</v>
      </c>
      <c r="E54" s="5" t="s">
        <v>77</v>
      </c>
      <c r="F54" s="5" t="s">
        <v>73</v>
      </c>
      <c r="G54" s="5" t="s">
        <v>74</v>
      </c>
      <c r="H54" s="5" t="s">
        <v>75</v>
      </c>
      <c r="I54" s="6" t="s">
        <v>76</v>
      </c>
    </row>
    <row r="55" spans="1:10" ht="22.05" customHeight="1" x14ac:dyDescent="0.6">
      <c r="A55" s="28">
        <v>1</v>
      </c>
      <c r="B55" s="28" t="s">
        <v>88</v>
      </c>
      <c r="C55" s="52" t="s">
        <v>185</v>
      </c>
      <c r="D55" s="52"/>
      <c r="E55" s="52" t="s">
        <v>138</v>
      </c>
      <c r="F55" s="52" t="s">
        <v>194</v>
      </c>
      <c r="G55" s="52" t="s">
        <v>195</v>
      </c>
      <c r="H55" s="55" t="s">
        <v>170</v>
      </c>
      <c r="I55" s="56" t="s">
        <v>192</v>
      </c>
    </row>
    <row r="56" spans="1:10" ht="22.05" customHeight="1" x14ac:dyDescent="0.6">
      <c r="A56" s="32">
        <v>2</v>
      </c>
      <c r="B56" s="32" t="s">
        <v>88</v>
      </c>
      <c r="C56" s="57" t="s">
        <v>4</v>
      </c>
      <c r="D56" s="57"/>
      <c r="E56" s="57" t="s">
        <v>138</v>
      </c>
      <c r="F56" s="57"/>
      <c r="G56" s="57"/>
      <c r="H56" s="68"/>
      <c r="I56" s="60"/>
    </row>
    <row r="57" spans="1:10" ht="22.05" customHeight="1" x14ac:dyDescent="0.6">
      <c r="A57" s="32">
        <v>3</v>
      </c>
      <c r="B57" s="32" t="s">
        <v>88</v>
      </c>
      <c r="C57" s="57" t="s">
        <v>21</v>
      </c>
      <c r="D57" s="57"/>
      <c r="E57" s="57" t="s">
        <v>138</v>
      </c>
      <c r="F57" s="57"/>
      <c r="G57" s="57"/>
      <c r="H57" s="68"/>
      <c r="I57" s="60"/>
    </row>
    <row r="58" spans="1:10" ht="22.05" customHeight="1" x14ac:dyDescent="0.6">
      <c r="A58" s="32">
        <v>4</v>
      </c>
      <c r="B58" s="32" t="s">
        <v>88</v>
      </c>
      <c r="C58" s="57" t="s">
        <v>33</v>
      </c>
      <c r="D58" s="57"/>
      <c r="E58" s="57" t="s">
        <v>138</v>
      </c>
      <c r="F58" s="57"/>
      <c r="G58" s="57"/>
      <c r="H58" s="68"/>
      <c r="I58" s="60"/>
    </row>
    <row r="59" spans="1:10" ht="22.05" customHeight="1" x14ac:dyDescent="0.6">
      <c r="A59" s="32">
        <v>5</v>
      </c>
      <c r="B59" s="32" t="s">
        <v>88</v>
      </c>
      <c r="C59" s="57" t="s">
        <v>32</v>
      </c>
      <c r="D59" s="57"/>
      <c r="E59" s="57" t="s">
        <v>138</v>
      </c>
      <c r="F59" s="57"/>
      <c r="G59" s="57"/>
      <c r="H59" s="68"/>
      <c r="I59" s="60"/>
    </row>
    <row r="60" spans="1:10" ht="22.05" customHeight="1" x14ac:dyDescent="0.6">
      <c r="A60" s="32">
        <v>6</v>
      </c>
      <c r="B60" s="32" t="s">
        <v>88</v>
      </c>
      <c r="C60" s="57" t="s">
        <v>34</v>
      </c>
      <c r="D60" s="57"/>
      <c r="E60" s="57" t="s">
        <v>177</v>
      </c>
      <c r="F60" s="57"/>
      <c r="G60" s="57"/>
      <c r="H60" s="68"/>
      <c r="I60" s="60"/>
    </row>
    <row r="61" spans="1:10" ht="22.05" customHeight="1" x14ac:dyDescent="0.6">
      <c r="A61" s="32">
        <v>7</v>
      </c>
      <c r="B61" s="32" t="s">
        <v>88</v>
      </c>
      <c r="C61" s="57" t="s">
        <v>186</v>
      </c>
      <c r="D61" s="57"/>
      <c r="E61" s="57" t="s">
        <v>138</v>
      </c>
      <c r="F61" s="57"/>
      <c r="G61" s="57"/>
      <c r="H61" s="68"/>
      <c r="I61" s="60"/>
    </row>
    <row r="62" spans="1:10" ht="22.05" customHeight="1" x14ac:dyDescent="0.6">
      <c r="A62" s="37">
        <v>8</v>
      </c>
      <c r="B62" s="37" t="s">
        <v>88</v>
      </c>
      <c r="C62" s="61" t="s">
        <v>187</v>
      </c>
      <c r="D62" s="61"/>
      <c r="E62" s="61" t="s">
        <v>138</v>
      </c>
      <c r="F62" s="61"/>
      <c r="G62" s="61"/>
      <c r="H62" s="69"/>
      <c r="I62" s="64"/>
    </row>
    <row r="63" spans="1:10" ht="22.05" customHeight="1" x14ac:dyDescent="0.6">
      <c r="A63" s="76">
        <v>9</v>
      </c>
      <c r="B63" s="76" t="s">
        <v>277</v>
      </c>
      <c r="C63" s="77" t="s">
        <v>278</v>
      </c>
      <c r="D63" s="77"/>
      <c r="E63" s="77"/>
      <c r="F63" s="77" t="s">
        <v>280</v>
      </c>
      <c r="G63" s="77" t="s">
        <v>281</v>
      </c>
      <c r="H63" s="78" t="s">
        <v>282</v>
      </c>
      <c r="I63" s="79" t="s">
        <v>279</v>
      </c>
    </row>
    <row r="64" spans="1:10" ht="22.05" customHeight="1" x14ac:dyDescent="0.6">
      <c r="A64" s="8">
        <v>10</v>
      </c>
      <c r="B64" s="8" t="s">
        <v>89</v>
      </c>
      <c r="C64" s="46" t="s">
        <v>34</v>
      </c>
      <c r="D64" s="46"/>
      <c r="E64" s="46" t="s">
        <v>139</v>
      </c>
      <c r="F64" s="46" t="s">
        <v>90</v>
      </c>
      <c r="G64" s="46" t="s">
        <v>91</v>
      </c>
      <c r="H64" s="46"/>
      <c r="I64" s="19" t="s">
        <v>193</v>
      </c>
    </row>
    <row r="65" spans="1:10" ht="22.05" customHeight="1" x14ac:dyDescent="0.6">
      <c r="A65" s="23"/>
      <c r="B65" s="12"/>
      <c r="C65" s="23"/>
      <c r="D65" s="23"/>
      <c r="E65" s="48"/>
      <c r="F65" s="48"/>
      <c r="G65" s="48"/>
      <c r="H65" s="48"/>
      <c r="I65" s="12"/>
    </row>
    <row r="66" spans="1:10" ht="21.75" customHeight="1" x14ac:dyDescent="0.6">
      <c r="A66" s="26" t="s">
        <v>95</v>
      </c>
      <c r="B66" s="3"/>
      <c r="C66" s="24"/>
      <c r="D66" s="24"/>
      <c r="E66" s="24"/>
      <c r="F66" s="24"/>
      <c r="G66" s="24"/>
      <c r="H66" s="24"/>
      <c r="I66" s="2"/>
    </row>
    <row r="67" spans="1:10" ht="22.05" customHeight="1" x14ac:dyDescent="0.6">
      <c r="A67" s="5" t="s">
        <v>119</v>
      </c>
      <c r="B67" s="5" t="s">
        <v>72</v>
      </c>
      <c r="C67" s="5" t="s">
        <v>2</v>
      </c>
      <c r="D67" s="5" t="s">
        <v>122</v>
      </c>
      <c r="E67" s="5" t="s">
        <v>77</v>
      </c>
      <c r="F67" s="5" t="s">
        <v>73</v>
      </c>
      <c r="G67" s="5" t="s">
        <v>74</v>
      </c>
      <c r="H67" s="5" t="s">
        <v>75</v>
      </c>
      <c r="I67" s="6" t="s">
        <v>76</v>
      </c>
    </row>
    <row r="68" spans="1:10" ht="22.05" customHeight="1" x14ac:dyDescent="0.6">
      <c r="A68" s="8">
        <v>1</v>
      </c>
      <c r="B68" s="8" t="s">
        <v>86</v>
      </c>
      <c r="C68" s="46" t="s">
        <v>196</v>
      </c>
      <c r="D68" s="46"/>
      <c r="E68" s="46" t="s">
        <v>177</v>
      </c>
      <c r="F68" s="46" t="s">
        <v>197</v>
      </c>
      <c r="G68" s="46" t="s">
        <v>198</v>
      </c>
      <c r="H68" s="46"/>
      <c r="I68" s="19" t="s">
        <v>199</v>
      </c>
    </row>
    <row r="69" spans="1:10" ht="22.05" customHeight="1" x14ac:dyDescent="0.6">
      <c r="A69" s="8">
        <v>2</v>
      </c>
      <c r="B69" s="8" t="s">
        <v>112</v>
      </c>
      <c r="C69" s="46" t="s">
        <v>207</v>
      </c>
      <c r="D69" s="46"/>
      <c r="E69" s="46" t="s">
        <v>139</v>
      </c>
      <c r="F69" s="20" t="s">
        <v>215</v>
      </c>
      <c r="G69" s="46" t="s">
        <v>216</v>
      </c>
      <c r="H69" s="51" t="s">
        <v>172</v>
      </c>
      <c r="I69" s="19" t="s">
        <v>226</v>
      </c>
    </row>
    <row r="70" spans="1:10" ht="22.05" customHeight="1" x14ac:dyDescent="0.6">
      <c r="A70" s="8">
        <v>3</v>
      </c>
      <c r="B70" s="8" t="s">
        <v>101</v>
      </c>
      <c r="C70" s="46" t="s">
        <v>196</v>
      </c>
      <c r="D70" s="46"/>
      <c r="E70" s="46" t="s">
        <v>177</v>
      </c>
      <c r="F70" s="46" t="s">
        <v>204</v>
      </c>
      <c r="G70" s="46" t="s">
        <v>205</v>
      </c>
      <c r="H70" s="51" t="s">
        <v>173</v>
      </c>
      <c r="I70" s="19" t="s">
        <v>206</v>
      </c>
    </row>
    <row r="71" spans="1:10" ht="22.05" customHeight="1" x14ac:dyDescent="0.6">
      <c r="A71" s="8">
        <v>4</v>
      </c>
      <c r="B71" s="8" t="s">
        <v>94</v>
      </c>
      <c r="C71" s="46" t="s">
        <v>203</v>
      </c>
      <c r="D71" s="46"/>
      <c r="E71" s="46"/>
      <c r="F71" s="46" t="s">
        <v>200</v>
      </c>
      <c r="G71" s="46" t="s">
        <v>201</v>
      </c>
      <c r="H71" s="51" t="s">
        <v>202</v>
      </c>
      <c r="I71" s="19"/>
    </row>
    <row r="72" spans="1:10" ht="22.05" customHeight="1" x14ac:dyDescent="0.6">
      <c r="A72" s="8">
        <v>5</v>
      </c>
      <c r="B72" s="8" t="s">
        <v>104</v>
      </c>
      <c r="C72" s="46" t="s">
        <v>196</v>
      </c>
      <c r="D72" s="46"/>
      <c r="E72" s="46"/>
      <c r="F72" s="20" t="s">
        <v>212</v>
      </c>
      <c r="G72" s="46" t="s">
        <v>213</v>
      </c>
      <c r="H72" s="46"/>
      <c r="I72" s="19" t="s">
        <v>214</v>
      </c>
    </row>
    <row r="73" spans="1:10" ht="22.05" customHeight="1" x14ac:dyDescent="0.6">
      <c r="A73" s="8">
        <v>6</v>
      </c>
      <c r="B73" s="8" t="s">
        <v>219</v>
      </c>
      <c r="C73" s="46" t="s">
        <v>207</v>
      </c>
      <c r="D73" s="46"/>
      <c r="E73" s="46"/>
      <c r="F73" s="20" t="s">
        <v>220</v>
      </c>
      <c r="G73" s="46" t="s">
        <v>221</v>
      </c>
      <c r="H73" s="51" t="s">
        <v>164</v>
      </c>
      <c r="I73" s="19"/>
    </row>
    <row r="74" spans="1:10" ht="22.05" customHeight="1" x14ac:dyDescent="0.6">
      <c r="A74" s="8">
        <v>7</v>
      </c>
      <c r="B74" s="8" t="s">
        <v>102</v>
      </c>
      <c r="C74" s="46" t="s">
        <v>207</v>
      </c>
      <c r="D74" s="46"/>
      <c r="E74" s="46"/>
      <c r="F74" s="46" t="s">
        <v>208</v>
      </c>
      <c r="G74" s="46" t="s">
        <v>209</v>
      </c>
      <c r="H74" s="46"/>
      <c r="I74" s="19"/>
    </row>
    <row r="75" spans="1:10" ht="22.05" customHeight="1" x14ac:dyDescent="0.6">
      <c r="A75" s="8">
        <v>8</v>
      </c>
      <c r="B75" s="8" t="s">
        <v>103</v>
      </c>
      <c r="C75" s="46" t="s">
        <v>207</v>
      </c>
      <c r="D75" s="46"/>
      <c r="E75" s="46"/>
      <c r="F75" s="20" t="s">
        <v>211</v>
      </c>
      <c r="G75" s="46"/>
      <c r="H75" s="51" t="s">
        <v>210</v>
      </c>
      <c r="I75" s="19"/>
      <c r="J75" s="1"/>
    </row>
    <row r="76" spans="1:10" ht="22.05" customHeight="1" x14ac:dyDescent="0.6">
      <c r="A76" s="8">
        <v>9</v>
      </c>
      <c r="B76" s="8" t="s">
        <v>217</v>
      </c>
      <c r="C76" s="46" t="s">
        <v>207</v>
      </c>
      <c r="D76" s="46"/>
      <c r="E76" s="46"/>
      <c r="F76" s="20"/>
      <c r="G76" s="46"/>
      <c r="H76" s="46"/>
      <c r="I76" s="19" t="s">
        <v>218</v>
      </c>
      <c r="J76" s="1"/>
    </row>
    <row r="77" spans="1:10" ht="22.05" customHeight="1" x14ac:dyDescent="0.6">
      <c r="A77" s="8">
        <v>10</v>
      </c>
      <c r="B77" s="8" t="s">
        <v>116</v>
      </c>
      <c r="C77" s="46" t="s">
        <v>207</v>
      </c>
      <c r="D77" s="46"/>
      <c r="E77" s="46"/>
      <c r="F77" s="20" t="s">
        <v>222</v>
      </c>
      <c r="G77" s="46" t="s">
        <v>223</v>
      </c>
      <c r="H77" s="46"/>
      <c r="I77" s="19"/>
      <c r="J77" s="1"/>
    </row>
    <row r="78" spans="1:10" ht="22.05" customHeight="1" x14ac:dyDescent="0.6">
      <c r="A78" s="8">
        <v>11</v>
      </c>
      <c r="B78" s="8" t="s">
        <v>118</v>
      </c>
      <c r="C78" s="46" t="s">
        <v>207</v>
      </c>
      <c r="D78" s="46"/>
      <c r="E78" s="46"/>
      <c r="F78" s="20" t="s">
        <v>224</v>
      </c>
      <c r="G78" s="46" t="s">
        <v>225</v>
      </c>
      <c r="H78" s="46"/>
      <c r="I78" s="19" t="s">
        <v>214</v>
      </c>
      <c r="J78" s="1"/>
    </row>
    <row r="79" spans="1:10" ht="22.05" customHeight="1" x14ac:dyDescent="0.6">
      <c r="A79" s="8">
        <v>12</v>
      </c>
      <c r="B79" s="8" t="s">
        <v>227</v>
      </c>
      <c r="C79" s="46" t="s">
        <v>191</v>
      </c>
      <c r="D79" s="46"/>
      <c r="E79" s="46"/>
      <c r="F79" s="20" t="s">
        <v>188</v>
      </c>
      <c r="G79" s="46" t="s">
        <v>189</v>
      </c>
      <c r="H79" s="51" t="s">
        <v>190</v>
      </c>
      <c r="I79" s="19"/>
    </row>
    <row r="80" spans="1:10" ht="22.05" customHeight="1" x14ac:dyDescent="0.6">
      <c r="A80" s="23"/>
      <c r="B80" s="12"/>
      <c r="C80" s="23"/>
      <c r="D80" s="23"/>
      <c r="E80" s="48"/>
      <c r="F80" s="48"/>
      <c r="G80" s="48"/>
      <c r="H80" s="48"/>
      <c r="I80" s="12"/>
    </row>
    <row r="81" spans="1:9" ht="21.75" customHeight="1" x14ac:dyDescent="0.6">
      <c r="A81" s="26" t="s">
        <v>96</v>
      </c>
      <c r="B81" s="3"/>
      <c r="C81" s="24"/>
      <c r="D81" s="24"/>
      <c r="E81" s="24"/>
      <c r="F81" s="24"/>
      <c r="G81" s="24"/>
      <c r="H81" s="24"/>
      <c r="I81" s="2"/>
    </row>
    <row r="82" spans="1:9" ht="22.05" customHeight="1" x14ac:dyDescent="0.6">
      <c r="A82" s="5" t="s">
        <v>119</v>
      </c>
      <c r="B82" s="5" t="s">
        <v>72</v>
      </c>
      <c r="C82" s="5" t="s">
        <v>2</v>
      </c>
      <c r="D82" s="5" t="s">
        <v>122</v>
      </c>
      <c r="E82" s="5" t="s">
        <v>77</v>
      </c>
      <c r="F82" s="5" t="s">
        <v>73</v>
      </c>
      <c r="G82" s="5" t="s">
        <v>74</v>
      </c>
      <c r="H82" s="5" t="s">
        <v>75</v>
      </c>
      <c r="I82" s="6" t="s">
        <v>76</v>
      </c>
    </row>
    <row r="83" spans="1:9" ht="22.05" customHeight="1" x14ac:dyDescent="0.6">
      <c r="A83" s="8">
        <v>1</v>
      </c>
      <c r="B83" s="8" t="s">
        <v>63</v>
      </c>
      <c r="C83" s="46" t="s">
        <v>228</v>
      </c>
      <c r="D83" s="46"/>
      <c r="E83" s="46" t="s">
        <v>139</v>
      </c>
      <c r="F83" s="46" t="s">
        <v>231</v>
      </c>
      <c r="G83" s="46" t="s">
        <v>232</v>
      </c>
      <c r="H83" s="51" t="s">
        <v>163</v>
      </c>
      <c r="I83" s="19" t="s">
        <v>230</v>
      </c>
    </row>
    <row r="84" spans="1:9" ht="22.05" customHeight="1" x14ac:dyDescent="0.6">
      <c r="A84" s="8">
        <v>2</v>
      </c>
      <c r="B84" s="8" t="s">
        <v>64</v>
      </c>
      <c r="C84" s="46" t="s">
        <v>228</v>
      </c>
      <c r="D84" s="46"/>
      <c r="E84" s="46" t="s">
        <v>139</v>
      </c>
      <c r="F84" s="46" t="s">
        <v>233</v>
      </c>
      <c r="G84" s="46" t="s">
        <v>234</v>
      </c>
      <c r="H84" s="51" t="s">
        <v>166</v>
      </c>
      <c r="I84" s="19" t="s">
        <v>229</v>
      </c>
    </row>
    <row r="85" spans="1:9" ht="22.05" customHeight="1" x14ac:dyDescent="0.6">
      <c r="A85" s="23"/>
      <c r="B85" s="12"/>
      <c r="C85" s="23"/>
      <c r="D85" s="23"/>
      <c r="E85" s="48"/>
      <c r="F85" s="48"/>
      <c r="G85" s="48"/>
      <c r="H85" s="48"/>
      <c r="I85" s="12"/>
    </row>
    <row r="86" spans="1:9" ht="22.05" customHeight="1" x14ac:dyDescent="0.6">
      <c r="A86" s="26" t="s">
        <v>97</v>
      </c>
      <c r="B86" s="3"/>
      <c r="C86" s="24"/>
      <c r="D86" s="24"/>
      <c r="E86" s="24"/>
      <c r="F86" s="24"/>
      <c r="G86" s="24"/>
      <c r="H86" s="24"/>
      <c r="I86" s="2"/>
    </row>
    <row r="87" spans="1:9" ht="22.05" customHeight="1" x14ac:dyDescent="0.6">
      <c r="A87" s="5" t="s">
        <v>119</v>
      </c>
      <c r="B87" s="5" t="s">
        <v>72</v>
      </c>
      <c r="C87" s="5" t="s">
        <v>2</v>
      </c>
      <c r="D87" s="5" t="s">
        <v>122</v>
      </c>
      <c r="E87" s="5" t="s">
        <v>77</v>
      </c>
      <c r="F87" s="5" t="s">
        <v>73</v>
      </c>
      <c r="G87" s="5" t="s">
        <v>74</v>
      </c>
      <c r="H87" s="5" t="s">
        <v>75</v>
      </c>
      <c r="I87" s="6" t="s">
        <v>76</v>
      </c>
    </row>
    <row r="88" spans="1:9" ht="22.05" customHeight="1" x14ac:dyDescent="0.6">
      <c r="A88" s="8">
        <v>1</v>
      </c>
      <c r="B88" s="8" t="s">
        <v>51</v>
      </c>
      <c r="C88" s="46"/>
      <c r="D88" s="46"/>
      <c r="E88" s="46" t="s">
        <v>139</v>
      </c>
      <c r="F88" s="46" t="s">
        <v>238</v>
      </c>
      <c r="G88" s="46" t="s">
        <v>239</v>
      </c>
      <c r="H88" s="51" t="s">
        <v>171</v>
      </c>
      <c r="I88" s="19" t="s">
        <v>237</v>
      </c>
    </row>
    <row r="89" spans="1:9" ht="22.05" customHeight="1" x14ac:dyDescent="0.6">
      <c r="A89" s="8">
        <v>2</v>
      </c>
      <c r="B89" s="8" t="s">
        <v>113</v>
      </c>
      <c r="C89" s="46"/>
      <c r="D89" s="46"/>
      <c r="E89" s="46" t="s">
        <v>139</v>
      </c>
      <c r="F89" s="46" t="s">
        <v>44</v>
      </c>
      <c r="G89" s="46" t="s">
        <v>240</v>
      </c>
      <c r="H89" s="46"/>
      <c r="I89" s="19" t="s">
        <v>241</v>
      </c>
    </row>
    <row r="90" spans="1:9" ht="22.05" customHeight="1" x14ac:dyDescent="0.6">
      <c r="A90" s="8">
        <v>3</v>
      </c>
      <c r="B90" s="8" t="s">
        <v>451</v>
      </c>
      <c r="C90" s="46"/>
      <c r="D90" s="46"/>
      <c r="E90" s="46" t="s">
        <v>177</v>
      </c>
      <c r="F90" s="46" t="s">
        <v>452</v>
      </c>
      <c r="G90" s="46" t="s">
        <v>453</v>
      </c>
      <c r="H90" s="46"/>
      <c r="I90" s="19"/>
    </row>
    <row r="91" spans="1:9" ht="22.05" customHeight="1" x14ac:dyDescent="0.6">
      <c r="A91" s="8">
        <v>4</v>
      </c>
      <c r="B91" s="8" t="s">
        <v>117</v>
      </c>
      <c r="C91" s="46"/>
      <c r="D91" s="46"/>
      <c r="E91" s="46"/>
      <c r="F91" s="46" t="s">
        <v>244</v>
      </c>
      <c r="G91" s="46"/>
      <c r="H91" s="51" t="s">
        <v>243</v>
      </c>
      <c r="I91" s="19" t="s">
        <v>242</v>
      </c>
    </row>
    <row r="92" spans="1:9" ht="22.05" customHeight="1" x14ac:dyDescent="0.6">
      <c r="A92" s="8">
        <v>5</v>
      </c>
      <c r="B92" s="8" t="s">
        <v>99</v>
      </c>
      <c r="C92" s="46"/>
      <c r="D92" s="46"/>
      <c r="E92" s="46"/>
      <c r="F92" s="46" t="s">
        <v>235</v>
      </c>
      <c r="G92" s="46" t="s">
        <v>236</v>
      </c>
      <c r="H92" s="46"/>
      <c r="I92" s="19" t="s">
        <v>245</v>
      </c>
    </row>
    <row r="93" spans="1:9" ht="22.05" customHeight="1" x14ac:dyDescent="0.6">
      <c r="A93" s="23"/>
      <c r="B93" s="12"/>
      <c r="C93" s="23"/>
      <c r="D93" s="23"/>
      <c r="E93" s="48"/>
      <c r="F93" s="48"/>
      <c r="G93" s="48"/>
      <c r="H93" s="48"/>
      <c r="I93" s="12"/>
    </row>
    <row r="94" spans="1:9" ht="22.05" customHeight="1" x14ac:dyDescent="0.6">
      <c r="A94" s="26" t="s">
        <v>107</v>
      </c>
      <c r="B94" s="3"/>
      <c r="C94" s="24"/>
      <c r="D94" s="24"/>
      <c r="E94" s="24"/>
      <c r="F94" s="24"/>
      <c r="G94" s="24"/>
      <c r="H94" s="24"/>
      <c r="I94" s="2"/>
    </row>
    <row r="95" spans="1:9" ht="22.05" customHeight="1" x14ac:dyDescent="0.6">
      <c r="A95" s="5" t="s">
        <v>119</v>
      </c>
      <c r="B95" s="5" t="s">
        <v>72</v>
      </c>
      <c r="C95" s="5" t="s">
        <v>2</v>
      </c>
      <c r="D95" s="5" t="s">
        <v>122</v>
      </c>
      <c r="E95" s="5" t="s">
        <v>77</v>
      </c>
      <c r="F95" s="5" t="s">
        <v>73</v>
      </c>
      <c r="G95" s="5" t="s">
        <v>74</v>
      </c>
      <c r="H95" s="5" t="s">
        <v>75</v>
      </c>
      <c r="I95" s="6" t="s">
        <v>76</v>
      </c>
    </row>
    <row r="96" spans="1:9" ht="22.05" customHeight="1" x14ac:dyDescent="0.6">
      <c r="A96" s="8">
        <v>1</v>
      </c>
      <c r="B96" s="8" t="s">
        <v>109</v>
      </c>
      <c r="C96" s="46" t="s">
        <v>246</v>
      </c>
      <c r="D96" s="46"/>
      <c r="E96" s="46" t="s">
        <v>139</v>
      </c>
      <c r="F96" s="46" t="s">
        <v>248</v>
      </c>
      <c r="G96" s="46" t="s">
        <v>252</v>
      </c>
      <c r="H96" s="46"/>
      <c r="I96" s="19" t="s">
        <v>249</v>
      </c>
    </row>
    <row r="97" spans="1:9" ht="22.05" customHeight="1" x14ac:dyDescent="0.6">
      <c r="A97" s="8">
        <v>2</v>
      </c>
      <c r="B97" s="8" t="s">
        <v>105</v>
      </c>
      <c r="C97" s="46" t="s">
        <v>246</v>
      </c>
      <c r="D97" s="46"/>
      <c r="E97" s="46"/>
      <c r="F97" s="46" t="s">
        <v>250</v>
      </c>
      <c r="G97" s="46" t="s">
        <v>251</v>
      </c>
      <c r="H97" s="51" t="s">
        <v>161</v>
      </c>
      <c r="I97" s="19" t="s">
        <v>247</v>
      </c>
    </row>
    <row r="98" spans="1:9" ht="22.05" customHeight="1" x14ac:dyDescent="0.6">
      <c r="A98" s="8">
        <v>3</v>
      </c>
      <c r="B98" s="8" t="s">
        <v>111</v>
      </c>
      <c r="C98" s="46" t="s">
        <v>246</v>
      </c>
      <c r="D98" s="46"/>
      <c r="E98" s="46"/>
      <c r="F98" s="46" t="s">
        <v>254</v>
      </c>
      <c r="G98" s="46" t="s">
        <v>255</v>
      </c>
      <c r="H98" s="51" t="s">
        <v>256</v>
      </c>
      <c r="I98" s="19" t="s">
        <v>253</v>
      </c>
    </row>
    <row r="99" spans="1:9" ht="22.05" customHeight="1" x14ac:dyDescent="0.6">
      <c r="A99" s="23"/>
      <c r="B99" s="12"/>
      <c r="C99" s="23"/>
      <c r="D99" s="23"/>
      <c r="E99" s="48"/>
      <c r="F99" s="48"/>
      <c r="G99" s="48"/>
      <c r="H99" s="48"/>
      <c r="I99" s="12"/>
    </row>
    <row r="100" spans="1:9" ht="22.05" customHeight="1" x14ac:dyDescent="0.6">
      <c r="A100" s="26" t="s">
        <v>98</v>
      </c>
      <c r="B100" s="3"/>
      <c r="C100" s="24"/>
      <c r="D100" s="24"/>
      <c r="E100" s="24"/>
      <c r="F100" s="24"/>
      <c r="G100" s="24"/>
      <c r="H100" s="24"/>
      <c r="I100" s="2"/>
    </row>
    <row r="101" spans="1:9" ht="22.05" customHeight="1" x14ac:dyDescent="0.6">
      <c r="A101" s="5" t="s">
        <v>119</v>
      </c>
      <c r="B101" s="5" t="s">
        <v>72</v>
      </c>
      <c r="C101" s="5" t="s">
        <v>2</v>
      </c>
      <c r="D101" s="5" t="s">
        <v>122</v>
      </c>
      <c r="E101" s="5" t="s">
        <v>77</v>
      </c>
      <c r="F101" s="5" t="s">
        <v>73</v>
      </c>
      <c r="G101" s="5" t="s">
        <v>74</v>
      </c>
      <c r="H101" s="5" t="s">
        <v>75</v>
      </c>
      <c r="I101" s="6" t="s">
        <v>76</v>
      </c>
    </row>
    <row r="102" spans="1:9" ht="22.05" customHeight="1" x14ac:dyDescent="0.6">
      <c r="A102" s="8">
        <v>1</v>
      </c>
      <c r="B102" s="8" t="s">
        <v>114</v>
      </c>
      <c r="C102" s="46"/>
      <c r="D102" s="46"/>
      <c r="E102" s="46"/>
      <c r="F102" s="46" t="s">
        <v>259</v>
      </c>
      <c r="G102" s="46" t="s">
        <v>260</v>
      </c>
      <c r="H102" s="51" t="s">
        <v>162</v>
      </c>
      <c r="I102" s="19"/>
    </row>
    <row r="103" spans="1:9" ht="22.05" customHeight="1" x14ac:dyDescent="0.6">
      <c r="A103" s="8">
        <v>2</v>
      </c>
      <c r="B103" s="8" t="s">
        <v>168</v>
      </c>
      <c r="C103" s="46"/>
      <c r="D103" s="46"/>
      <c r="E103" s="46"/>
      <c r="F103" s="46" t="s">
        <v>257</v>
      </c>
      <c r="G103" s="46" t="s">
        <v>261</v>
      </c>
      <c r="H103" s="51" t="s">
        <v>167</v>
      </c>
      <c r="I103" s="19"/>
    </row>
    <row r="104" spans="1:9" ht="22.05" customHeight="1" x14ac:dyDescent="0.6">
      <c r="A104" s="23"/>
      <c r="B104" s="12"/>
      <c r="C104" s="23"/>
      <c r="D104" s="23"/>
      <c r="E104" s="48"/>
      <c r="F104" s="48"/>
      <c r="G104" s="48"/>
      <c r="H104" s="48"/>
      <c r="I104" s="12"/>
    </row>
    <row r="105" spans="1:9" ht="22.05" customHeight="1" x14ac:dyDescent="0.6">
      <c r="A105" s="26" t="s">
        <v>108</v>
      </c>
      <c r="B105" s="3"/>
      <c r="C105" s="24"/>
      <c r="D105" s="24"/>
      <c r="E105" s="24"/>
      <c r="F105" s="24"/>
      <c r="G105" s="24"/>
      <c r="H105" s="24"/>
      <c r="I105" s="2"/>
    </row>
    <row r="106" spans="1:9" ht="22.05" customHeight="1" x14ac:dyDescent="0.6">
      <c r="A106" s="5" t="s">
        <v>119</v>
      </c>
      <c r="B106" s="5" t="s">
        <v>72</v>
      </c>
      <c r="C106" s="5" t="s">
        <v>2</v>
      </c>
      <c r="D106" s="5" t="s">
        <v>122</v>
      </c>
      <c r="E106" s="5" t="s">
        <v>77</v>
      </c>
      <c r="F106" s="5" t="s">
        <v>73</v>
      </c>
      <c r="G106" s="5" t="s">
        <v>74</v>
      </c>
      <c r="H106" s="5" t="s">
        <v>75</v>
      </c>
      <c r="I106" s="6" t="s">
        <v>76</v>
      </c>
    </row>
    <row r="107" spans="1:9" ht="22.05" customHeight="1" x14ac:dyDescent="0.6">
      <c r="A107" s="8">
        <v>1</v>
      </c>
      <c r="B107" s="8" t="s">
        <v>84</v>
      </c>
      <c r="C107" s="46" t="s">
        <v>263</v>
      </c>
      <c r="D107" s="46"/>
      <c r="E107" s="46" t="s">
        <v>139</v>
      </c>
      <c r="F107" s="46" t="s">
        <v>266</v>
      </c>
      <c r="G107" s="46" t="s">
        <v>267</v>
      </c>
      <c r="H107" s="46"/>
      <c r="I107" s="19" t="s">
        <v>268</v>
      </c>
    </row>
    <row r="108" spans="1:9" ht="22.05" customHeight="1" x14ac:dyDescent="0.6">
      <c r="A108" s="8">
        <v>2</v>
      </c>
      <c r="B108" s="8" t="s">
        <v>115</v>
      </c>
      <c r="C108" s="46" t="s">
        <v>264</v>
      </c>
      <c r="D108" s="46"/>
      <c r="E108" s="46"/>
      <c r="F108" s="46" t="s">
        <v>269</v>
      </c>
      <c r="G108" s="46" t="s">
        <v>270</v>
      </c>
      <c r="H108" s="46"/>
      <c r="I108" s="19" t="s">
        <v>271</v>
      </c>
    </row>
    <row r="109" spans="1:9" ht="22.05" customHeight="1" x14ac:dyDescent="0.6">
      <c r="A109" s="8">
        <v>3</v>
      </c>
      <c r="B109" s="8" t="s">
        <v>272</v>
      </c>
      <c r="C109" s="46" t="s">
        <v>264</v>
      </c>
      <c r="D109" s="46"/>
      <c r="E109" s="46"/>
      <c r="F109" s="46" t="s">
        <v>273</v>
      </c>
      <c r="G109" s="46" t="s">
        <v>274</v>
      </c>
      <c r="H109" s="46"/>
      <c r="I109" s="19"/>
    </row>
    <row r="110" spans="1:9" ht="22.05" customHeight="1" x14ac:dyDescent="0.6">
      <c r="A110" s="8">
        <v>4</v>
      </c>
      <c r="B110" s="8" t="s">
        <v>174</v>
      </c>
      <c r="C110" s="46" t="s">
        <v>265</v>
      </c>
      <c r="D110" s="46"/>
      <c r="E110" s="46"/>
      <c r="F110" s="46" t="s">
        <v>258</v>
      </c>
      <c r="G110" s="46" t="s">
        <v>262</v>
      </c>
      <c r="H110" s="51" t="s">
        <v>175</v>
      </c>
      <c r="I110" s="19"/>
    </row>
    <row r="111" spans="1:9" ht="22.05" customHeight="1" x14ac:dyDescent="0.6">
      <c r="A111" s="8">
        <v>5</v>
      </c>
      <c r="B111" s="8"/>
      <c r="C111" s="46"/>
      <c r="D111" s="46"/>
      <c r="E111" s="46"/>
      <c r="F111" s="46"/>
      <c r="G111" s="46"/>
      <c r="H111" s="46"/>
      <c r="I111" s="19"/>
    </row>
    <row r="112" spans="1:9" ht="22.05" customHeight="1" x14ac:dyDescent="0.6">
      <c r="A112" s="24"/>
      <c r="B112" s="2"/>
      <c r="C112" s="23"/>
      <c r="D112" s="23"/>
      <c r="E112" s="24"/>
      <c r="F112" s="24"/>
      <c r="G112" s="24"/>
      <c r="H112" s="24"/>
      <c r="I112" s="2"/>
    </row>
  </sheetData>
  <phoneticPr fontId="2" type="noConversion"/>
  <hyperlinks>
    <hyperlink ref="H7" r:id="rId1" xr:uid="{6616E94B-33F3-4C16-9E91-A58E2612A62E}"/>
    <hyperlink ref="H97" r:id="rId2" xr:uid="{42E17687-E504-4D10-A624-7D8E4D5ACFA1}"/>
    <hyperlink ref="H102" r:id="rId3" xr:uid="{DF88A044-A78E-48BC-8514-ABF5503CE3A3}"/>
    <hyperlink ref="H83" r:id="rId4" xr:uid="{CB051097-345D-438A-B83B-408EDC9B5061}"/>
    <hyperlink ref="H73" r:id="rId5" xr:uid="{70314875-F10A-47AD-8F59-270B0A5DA06E}"/>
    <hyperlink ref="H23" r:id="rId6" xr:uid="{97AA8EA0-BBDC-425F-B8D7-95B9E63C2DBD}"/>
    <hyperlink ref="H84" r:id="rId7" xr:uid="{0ECB47BA-FDDF-441F-90D5-DEB517CF6FE7}"/>
    <hyperlink ref="H103" r:id="rId8" xr:uid="{FDA60362-1437-4874-B0C6-5655C510BBA3}"/>
    <hyperlink ref="H24" r:id="rId9" xr:uid="{FC78ED31-0282-4AF7-9F1C-D022B1FBBE3A}"/>
    <hyperlink ref="H55" r:id="rId10" xr:uid="{A835EB6E-FDB7-4700-81A7-30A01BE2B5BF}"/>
    <hyperlink ref="H69" r:id="rId11" xr:uid="{BCE5D940-8155-48FE-BAA2-3833E7BBABB7}"/>
    <hyperlink ref="H70" r:id="rId12" xr:uid="{BF153EE5-F15C-49C7-B374-424A4BF612B4}"/>
    <hyperlink ref="H110" r:id="rId13" xr:uid="{1F065246-571F-46FE-8377-121035AFBADB}"/>
    <hyperlink ref="H79" r:id="rId14" xr:uid="{5E922AF6-E205-4558-ABC3-CAE0E52B6DD3}"/>
    <hyperlink ref="H71" r:id="rId15" xr:uid="{534CC032-D528-4B8F-BA8E-BAA44FD35527}"/>
    <hyperlink ref="H75" r:id="rId16" xr:uid="{A07972A5-4056-4BAF-AFD4-B93723B034F5}"/>
    <hyperlink ref="H98" r:id="rId17" xr:uid="{A00D44C9-F08A-4BFD-820B-A68A792D1409}"/>
    <hyperlink ref="H63" r:id="rId18" xr:uid="{54F6CC7B-1176-41BD-9AF9-43757CCBE8FB}"/>
    <hyperlink ref="H91" r:id="rId19" xr:uid="{6DBA3C93-CC7B-4E81-BB4B-A5A32D8C2E7F}"/>
    <hyperlink ref="H88" r:id="rId20" display="nicemeetyou@swisstour.co.kr" xr:uid="{64A110C8-903D-4342-A792-E2A9A2BA5890}"/>
  </hyperlinks>
  <pageMargins left="0.25" right="0.25" top="0.75" bottom="0.75" header="0.3" footer="0.3"/>
  <pageSetup paperSize="9" scale="68" fitToHeight="0" orientation="landscape" r:id="rId21"/>
  <rowBreaks count="2" manualBreakCount="2">
    <brk id="65" max="16383" man="1"/>
    <brk id="98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987A1-D098-4D29-B2C6-06629D137AAC}">
  <sheetPr>
    <pageSetUpPr fitToPage="1"/>
  </sheetPr>
  <dimension ref="A1:G145"/>
  <sheetViews>
    <sheetView topLeftCell="A43" zoomScaleNormal="100" zoomScaleSheetLayoutView="100" workbookViewId="0">
      <selection activeCell="E95" sqref="E95"/>
    </sheetView>
  </sheetViews>
  <sheetFormatPr defaultRowHeight="16.899999999999999" x14ac:dyDescent="0.6"/>
  <cols>
    <col min="1" max="1" width="5.5625" style="25" customWidth="1"/>
    <col min="2" max="2" width="24.3125" customWidth="1"/>
    <col min="7" max="7" width="65.25" customWidth="1"/>
  </cols>
  <sheetData>
    <row r="1" spans="1:7" ht="22.05" customHeight="1" x14ac:dyDescent="0.6">
      <c r="A1" s="27" t="s">
        <v>52</v>
      </c>
      <c r="B1" s="16"/>
      <c r="C1" s="2"/>
      <c r="D1" s="2"/>
      <c r="E1" s="2"/>
      <c r="F1" s="2"/>
      <c r="G1" s="2"/>
    </row>
    <row r="2" spans="1:7" ht="22.05" customHeight="1" x14ac:dyDescent="0.6">
      <c r="A2" s="26" t="s">
        <v>8</v>
      </c>
      <c r="B2" s="3"/>
      <c r="C2" s="2"/>
      <c r="D2" s="2"/>
      <c r="E2" s="2"/>
      <c r="F2" s="2"/>
      <c r="G2" s="2"/>
    </row>
    <row r="3" spans="1:7" ht="22.05" customHeight="1" x14ac:dyDescent="0.6">
      <c r="A3" s="5" t="s">
        <v>119</v>
      </c>
      <c r="B3" s="4" t="s">
        <v>1</v>
      </c>
      <c r="C3" s="5" t="s">
        <v>2</v>
      </c>
      <c r="D3" s="5" t="s">
        <v>41</v>
      </c>
      <c r="E3" s="5" t="s">
        <v>42</v>
      </c>
      <c r="F3" s="5" t="s">
        <v>3</v>
      </c>
      <c r="G3" s="6" t="s">
        <v>0</v>
      </c>
    </row>
    <row r="4" spans="1:7" ht="22.05" customHeight="1" x14ac:dyDescent="0.6">
      <c r="A4" s="8">
        <v>1</v>
      </c>
      <c r="B4" s="7" t="s">
        <v>9</v>
      </c>
      <c r="C4" s="8" t="s">
        <v>4</v>
      </c>
      <c r="D4" s="9">
        <v>120000</v>
      </c>
      <c r="E4" s="10">
        <v>120000</v>
      </c>
      <c r="F4" s="9">
        <f>E4-D4</f>
        <v>0</v>
      </c>
      <c r="G4" s="11" t="s">
        <v>39</v>
      </c>
    </row>
    <row r="5" spans="1:7" ht="22.05" customHeight="1" x14ac:dyDescent="0.6">
      <c r="A5" s="8">
        <v>2</v>
      </c>
      <c r="B5" s="7" t="s">
        <v>10</v>
      </c>
      <c r="C5" s="8" t="s">
        <v>4</v>
      </c>
      <c r="D5" s="9">
        <v>120000</v>
      </c>
      <c r="E5" s="10">
        <v>130000</v>
      </c>
      <c r="F5" s="9">
        <f t="shared" ref="F5:F12" si="0">E5-D5</f>
        <v>10000</v>
      </c>
      <c r="G5" s="11" t="s">
        <v>40</v>
      </c>
    </row>
    <row r="6" spans="1:7" ht="22.05" customHeight="1" x14ac:dyDescent="0.6">
      <c r="A6" s="8">
        <v>3</v>
      </c>
      <c r="B6" s="7" t="s">
        <v>6</v>
      </c>
      <c r="C6" s="8" t="s">
        <v>4</v>
      </c>
      <c r="D6" s="9">
        <v>100000</v>
      </c>
      <c r="E6" s="10">
        <v>100000</v>
      </c>
      <c r="F6" s="9">
        <f t="shared" si="0"/>
        <v>0</v>
      </c>
      <c r="G6" s="7"/>
    </row>
    <row r="7" spans="1:7" ht="22.05" customHeight="1" x14ac:dyDescent="0.6">
      <c r="A7" s="8">
        <v>4</v>
      </c>
      <c r="B7" s="7" t="s">
        <v>17</v>
      </c>
      <c r="C7" s="8" t="s">
        <v>4</v>
      </c>
      <c r="D7" s="9">
        <v>120000</v>
      </c>
      <c r="E7" s="10">
        <v>130000</v>
      </c>
      <c r="F7" s="9">
        <f t="shared" si="0"/>
        <v>10000</v>
      </c>
      <c r="G7" s="7"/>
    </row>
    <row r="8" spans="1:7" ht="22.05" customHeight="1" x14ac:dyDescent="0.6">
      <c r="A8" s="8">
        <v>5</v>
      </c>
      <c r="B8" s="7" t="s">
        <v>15</v>
      </c>
      <c r="C8" s="8" t="s">
        <v>4</v>
      </c>
      <c r="D8" s="9">
        <v>130000</v>
      </c>
      <c r="E8" s="10">
        <v>140000</v>
      </c>
      <c r="F8" s="9">
        <f t="shared" si="0"/>
        <v>10000</v>
      </c>
      <c r="G8" s="7"/>
    </row>
    <row r="9" spans="1:7" ht="22.05" customHeight="1" x14ac:dyDescent="0.6">
      <c r="A9" s="8">
        <v>6</v>
      </c>
      <c r="B9" s="7" t="s">
        <v>16</v>
      </c>
      <c r="C9" s="8" t="s">
        <v>4</v>
      </c>
      <c r="D9" s="9">
        <v>130000</v>
      </c>
      <c r="E9" s="10">
        <v>140000</v>
      </c>
      <c r="F9" s="9">
        <f t="shared" si="0"/>
        <v>10000</v>
      </c>
      <c r="G9" s="7"/>
    </row>
    <row r="10" spans="1:7" ht="22.05" customHeight="1" x14ac:dyDescent="0.6">
      <c r="A10" s="8">
        <v>7</v>
      </c>
      <c r="B10" s="7" t="s">
        <v>13</v>
      </c>
      <c r="C10" s="8" t="s">
        <v>4</v>
      </c>
      <c r="D10" s="9">
        <v>320000</v>
      </c>
      <c r="E10" s="10">
        <v>350000</v>
      </c>
      <c r="F10" s="9">
        <f t="shared" si="0"/>
        <v>30000</v>
      </c>
      <c r="G10" s="7" t="s">
        <v>22</v>
      </c>
    </row>
    <row r="11" spans="1:7" ht="22.05" customHeight="1" x14ac:dyDescent="0.6">
      <c r="A11" s="8">
        <v>8</v>
      </c>
      <c r="B11" s="7" t="s">
        <v>14</v>
      </c>
      <c r="C11" s="8" t="s">
        <v>4</v>
      </c>
      <c r="D11" s="9">
        <v>320000</v>
      </c>
      <c r="E11" s="10">
        <v>330000</v>
      </c>
      <c r="F11" s="9">
        <f t="shared" si="0"/>
        <v>10000</v>
      </c>
      <c r="G11" s="7" t="s">
        <v>22</v>
      </c>
    </row>
    <row r="12" spans="1:7" ht="22.05" customHeight="1" x14ac:dyDescent="0.6">
      <c r="A12" s="8">
        <v>9</v>
      </c>
      <c r="B12" s="7" t="s">
        <v>11</v>
      </c>
      <c r="C12" s="8" t="s">
        <v>4</v>
      </c>
      <c r="D12" s="9">
        <v>30000</v>
      </c>
      <c r="E12" s="10">
        <v>30000</v>
      </c>
      <c r="F12" s="9">
        <f t="shared" si="0"/>
        <v>0</v>
      </c>
      <c r="G12" s="7"/>
    </row>
    <row r="13" spans="1:7" ht="22.05" customHeight="1" x14ac:dyDescent="0.6">
      <c r="A13" s="23"/>
      <c r="B13" s="12"/>
      <c r="C13" s="12"/>
      <c r="D13" s="13"/>
      <c r="E13" s="14"/>
      <c r="F13" s="13"/>
      <c r="G13" s="12"/>
    </row>
    <row r="14" spans="1:7" ht="22.05" customHeight="1" x14ac:dyDescent="0.6">
      <c r="A14" s="26" t="s">
        <v>12</v>
      </c>
      <c r="B14" s="3"/>
      <c r="C14" s="2"/>
      <c r="D14" s="2"/>
      <c r="E14" s="2"/>
      <c r="F14" s="2"/>
      <c r="G14" s="2"/>
    </row>
    <row r="15" spans="1:7" ht="22.05" customHeight="1" x14ac:dyDescent="0.6">
      <c r="A15" s="5" t="s">
        <v>119</v>
      </c>
      <c r="B15" s="5" t="s">
        <v>1</v>
      </c>
      <c r="C15" s="5" t="s">
        <v>2</v>
      </c>
      <c r="D15" s="5" t="s">
        <v>41</v>
      </c>
      <c r="E15" s="5" t="s">
        <v>42</v>
      </c>
      <c r="F15" s="5" t="s">
        <v>3</v>
      </c>
      <c r="G15" s="6" t="s">
        <v>0</v>
      </c>
    </row>
    <row r="16" spans="1:7" ht="22.05" customHeight="1" x14ac:dyDescent="0.6">
      <c r="A16" s="8">
        <v>1</v>
      </c>
      <c r="B16" s="8" t="s">
        <v>5</v>
      </c>
      <c r="C16" s="8" t="s">
        <v>4</v>
      </c>
      <c r="D16" s="9">
        <v>120000</v>
      </c>
      <c r="E16" s="10">
        <v>120000</v>
      </c>
      <c r="F16" s="9">
        <f t="shared" ref="F16:F22" si="1">E16-D16</f>
        <v>0</v>
      </c>
      <c r="G16" s="7" t="s">
        <v>19</v>
      </c>
    </row>
    <row r="17" spans="1:7" ht="22.05" customHeight="1" x14ac:dyDescent="0.6">
      <c r="A17" s="8">
        <v>2</v>
      </c>
      <c r="B17" s="8" t="s">
        <v>6</v>
      </c>
      <c r="C17" s="8" t="s">
        <v>4</v>
      </c>
      <c r="D17" s="9">
        <v>100000</v>
      </c>
      <c r="E17" s="10">
        <v>100000</v>
      </c>
      <c r="F17" s="9">
        <f t="shared" si="1"/>
        <v>0</v>
      </c>
      <c r="G17" s="7" t="s">
        <v>19</v>
      </c>
    </row>
    <row r="18" spans="1:7" ht="22.05" customHeight="1" x14ac:dyDescent="0.6">
      <c r="A18" s="8">
        <v>3</v>
      </c>
      <c r="B18" s="8" t="s">
        <v>17</v>
      </c>
      <c r="C18" s="8" t="s">
        <v>4</v>
      </c>
      <c r="D18" s="9">
        <v>120000</v>
      </c>
      <c r="E18" s="10">
        <v>120000</v>
      </c>
      <c r="F18" s="9">
        <f t="shared" si="1"/>
        <v>0</v>
      </c>
      <c r="G18" s="7" t="s">
        <v>19</v>
      </c>
    </row>
    <row r="19" spans="1:7" ht="22.05" customHeight="1" x14ac:dyDescent="0.6">
      <c r="A19" s="8">
        <v>4</v>
      </c>
      <c r="B19" s="8" t="s">
        <v>15</v>
      </c>
      <c r="C19" s="8" t="s">
        <v>4</v>
      </c>
      <c r="D19" s="9">
        <v>130000</v>
      </c>
      <c r="E19" s="10">
        <v>130000</v>
      </c>
      <c r="F19" s="9">
        <f t="shared" si="1"/>
        <v>0</v>
      </c>
      <c r="G19" s="7" t="s">
        <v>19</v>
      </c>
    </row>
    <row r="20" spans="1:7" ht="22.05" customHeight="1" x14ac:dyDescent="0.6">
      <c r="A20" s="8">
        <v>5</v>
      </c>
      <c r="B20" s="8" t="s">
        <v>16</v>
      </c>
      <c r="C20" s="8" t="s">
        <v>4</v>
      </c>
      <c r="D20" s="9">
        <v>130000</v>
      </c>
      <c r="E20" s="10">
        <v>130000</v>
      </c>
      <c r="F20" s="9">
        <f t="shared" si="1"/>
        <v>0</v>
      </c>
      <c r="G20" s="7" t="s">
        <v>19</v>
      </c>
    </row>
    <row r="21" spans="1:7" ht="22.05" customHeight="1" x14ac:dyDescent="0.6">
      <c r="A21" s="8">
        <v>6</v>
      </c>
      <c r="B21" s="8" t="s">
        <v>7</v>
      </c>
      <c r="C21" s="8" t="s">
        <v>4</v>
      </c>
      <c r="D21" s="9">
        <v>320000</v>
      </c>
      <c r="E21" s="10">
        <v>320000</v>
      </c>
      <c r="F21" s="9">
        <f t="shared" si="1"/>
        <v>0</v>
      </c>
      <c r="G21" s="7" t="s">
        <v>19</v>
      </c>
    </row>
    <row r="22" spans="1:7" ht="22.05" customHeight="1" x14ac:dyDescent="0.6">
      <c r="A22" s="8">
        <v>7</v>
      </c>
      <c r="B22" s="8" t="s">
        <v>11</v>
      </c>
      <c r="C22" s="8" t="s">
        <v>4</v>
      </c>
      <c r="D22" s="9">
        <v>30000</v>
      </c>
      <c r="E22" s="10">
        <v>30000</v>
      </c>
      <c r="F22" s="9">
        <f t="shared" si="1"/>
        <v>0</v>
      </c>
      <c r="G22" s="7" t="s">
        <v>19</v>
      </c>
    </row>
    <row r="23" spans="1:7" ht="22.05" customHeight="1" x14ac:dyDescent="0.6">
      <c r="A23" s="26" t="s">
        <v>18</v>
      </c>
      <c r="B23" s="3"/>
      <c r="C23" s="2"/>
      <c r="D23" s="2"/>
      <c r="E23" s="2"/>
      <c r="F23" s="2"/>
      <c r="G23" s="2"/>
    </row>
    <row r="24" spans="1:7" ht="22.05" customHeight="1" x14ac:dyDescent="0.6">
      <c r="A24" s="5" t="s">
        <v>119</v>
      </c>
      <c r="B24" s="5" t="s">
        <v>1</v>
      </c>
      <c r="C24" s="5" t="s">
        <v>2</v>
      </c>
      <c r="D24" s="5" t="s">
        <v>41</v>
      </c>
      <c r="E24" s="5" t="s">
        <v>42</v>
      </c>
      <c r="F24" s="5" t="s">
        <v>3</v>
      </c>
      <c r="G24" s="6" t="s">
        <v>0</v>
      </c>
    </row>
    <row r="25" spans="1:7" ht="22.05" customHeight="1" x14ac:dyDescent="0.6">
      <c r="A25" s="8">
        <v>1</v>
      </c>
      <c r="B25" s="8" t="s">
        <v>5</v>
      </c>
      <c r="C25" s="8" t="s">
        <v>4</v>
      </c>
      <c r="D25" s="9">
        <v>120000</v>
      </c>
      <c r="E25" s="10">
        <v>120000</v>
      </c>
      <c r="F25" s="9">
        <f t="shared" ref="F25:F31" si="2">E25-D25</f>
        <v>0</v>
      </c>
      <c r="G25" s="7" t="s">
        <v>19</v>
      </c>
    </row>
    <row r="26" spans="1:7" ht="22.05" customHeight="1" x14ac:dyDescent="0.6">
      <c r="A26" s="8">
        <v>2</v>
      </c>
      <c r="B26" s="8" t="s">
        <v>6</v>
      </c>
      <c r="C26" s="8" t="s">
        <v>4</v>
      </c>
      <c r="D26" s="9">
        <v>100000</v>
      </c>
      <c r="E26" s="10">
        <v>100000</v>
      </c>
      <c r="F26" s="9">
        <f t="shared" si="2"/>
        <v>0</v>
      </c>
      <c r="G26" s="7" t="s">
        <v>19</v>
      </c>
    </row>
    <row r="27" spans="1:7" ht="22.05" customHeight="1" x14ac:dyDescent="0.6">
      <c r="A27" s="8">
        <v>3</v>
      </c>
      <c r="B27" s="8" t="s">
        <v>17</v>
      </c>
      <c r="C27" s="8" t="s">
        <v>4</v>
      </c>
      <c r="D27" s="9">
        <v>120000</v>
      </c>
      <c r="E27" s="10">
        <v>130000</v>
      </c>
      <c r="F27" s="9">
        <f t="shared" si="2"/>
        <v>10000</v>
      </c>
      <c r="G27" s="7"/>
    </row>
    <row r="28" spans="1:7" ht="22.05" customHeight="1" x14ac:dyDescent="0.6">
      <c r="A28" s="8">
        <v>4</v>
      </c>
      <c r="B28" s="8" t="s">
        <v>15</v>
      </c>
      <c r="C28" s="8" t="s">
        <v>4</v>
      </c>
      <c r="D28" s="9">
        <v>130000</v>
      </c>
      <c r="E28" s="10">
        <v>150000</v>
      </c>
      <c r="F28" s="9">
        <f t="shared" si="2"/>
        <v>20000</v>
      </c>
      <c r="G28" s="7"/>
    </row>
    <row r="29" spans="1:7" ht="22.05" customHeight="1" x14ac:dyDescent="0.6">
      <c r="A29" s="8">
        <v>5</v>
      </c>
      <c r="B29" s="8" t="s">
        <v>16</v>
      </c>
      <c r="C29" s="8" t="s">
        <v>4</v>
      </c>
      <c r="D29" s="9">
        <v>130000</v>
      </c>
      <c r="E29" s="10">
        <v>150000</v>
      </c>
      <c r="F29" s="9">
        <f t="shared" si="2"/>
        <v>20000</v>
      </c>
      <c r="G29" s="7"/>
    </row>
    <row r="30" spans="1:7" ht="22.05" customHeight="1" x14ac:dyDescent="0.6">
      <c r="A30" s="8">
        <v>6</v>
      </c>
      <c r="B30" s="8" t="s">
        <v>7</v>
      </c>
      <c r="C30" s="8" t="s">
        <v>4</v>
      </c>
      <c r="D30" s="9">
        <v>320000</v>
      </c>
      <c r="E30" s="10">
        <v>350000</v>
      </c>
      <c r="F30" s="9">
        <f t="shared" si="2"/>
        <v>30000</v>
      </c>
      <c r="G30" s="7"/>
    </row>
    <row r="31" spans="1:7" ht="22.05" customHeight="1" x14ac:dyDescent="0.6">
      <c r="A31" s="8">
        <v>7</v>
      </c>
      <c r="B31" s="8" t="s">
        <v>11</v>
      </c>
      <c r="C31" s="8" t="s">
        <v>4</v>
      </c>
      <c r="D31" s="9">
        <v>30000</v>
      </c>
      <c r="E31" s="10">
        <v>30000</v>
      </c>
      <c r="F31" s="9">
        <f t="shared" si="2"/>
        <v>0</v>
      </c>
      <c r="G31" s="7"/>
    </row>
    <row r="32" spans="1:7" ht="22.05" customHeight="1" x14ac:dyDescent="0.6">
      <c r="A32" s="24"/>
      <c r="B32" s="2"/>
      <c r="C32" s="12"/>
      <c r="D32" s="2"/>
      <c r="E32" s="2"/>
      <c r="F32" s="2"/>
      <c r="G32" s="2"/>
    </row>
    <row r="33" spans="1:7" ht="22.05" customHeight="1" x14ac:dyDescent="0.6">
      <c r="A33" s="26" t="s">
        <v>20</v>
      </c>
      <c r="B33" s="3"/>
      <c r="C33" s="2"/>
      <c r="D33" s="2"/>
      <c r="E33" s="2"/>
      <c r="F33" s="2"/>
      <c r="G33" s="2"/>
    </row>
    <row r="34" spans="1:7" ht="22.05" customHeight="1" x14ac:dyDescent="0.6">
      <c r="A34" s="5" t="s">
        <v>119</v>
      </c>
      <c r="B34" s="5" t="s">
        <v>1</v>
      </c>
      <c r="C34" s="5" t="s">
        <v>2</v>
      </c>
      <c r="D34" s="5" t="s">
        <v>41</v>
      </c>
      <c r="E34" s="5" t="s">
        <v>42</v>
      </c>
      <c r="F34" s="5" t="s">
        <v>3</v>
      </c>
      <c r="G34" s="6" t="s">
        <v>0</v>
      </c>
    </row>
    <row r="35" spans="1:7" ht="22.05" customHeight="1" x14ac:dyDescent="0.6">
      <c r="A35" s="8">
        <v>1</v>
      </c>
      <c r="B35" s="8" t="s">
        <v>5</v>
      </c>
      <c r="C35" s="8" t="s">
        <v>21</v>
      </c>
      <c r="D35" s="9">
        <v>100000</v>
      </c>
      <c r="E35" s="10">
        <v>100000</v>
      </c>
      <c r="F35" s="9">
        <f t="shared" ref="F35:F43" si="3">E35-D35</f>
        <v>0</v>
      </c>
      <c r="G35" s="7"/>
    </row>
    <row r="36" spans="1:7" ht="22.05" customHeight="1" x14ac:dyDescent="0.6">
      <c r="A36" s="8">
        <v>2</v>
      </c>
      <c r="B36" s="8" t="s">
        <v>6</v>
      </c>
      <c r="C36" s="8" t="s">
        <v>21</v>
      </c>
      <c r="D36" s="9">
        <v>80000</v>
      </c>
      <c r="E36" s="10">
        <v>80000</v>
      </c>
      <c r="F36" s="9">
        <f t="shared" si="3"/>
        <v>0</v>
      </c>
      <c r="G36" s="7"/>
    </row>
    <row r="37" spans="1:7" ht="22.05" customHeight="1" x14ac:dyDescent="0.6">
      <c r="A37" s="8">
        <v>3</v>
      </c>
      <c r="B37" s="8" t="s">
        <v>17</v>
      </c>
      <c r="C37" s="8" t="s">
        <v>21</v>
      </c>
      <c r="D37" s="9">
        <v>110000</v>
      </c>
      <c r="E37" s="10">
        <v>110000</v>
      </c>
      <c r="F37" s="9">
        <f t="shared" si="3"/>
        <v>0</v>
      </c>
      <c r="G37" s="7"/>
    </row>
    <row r="38" spans="1:7" ht="22.05" customHeight="1" x14ac:dyDescent="0.6">
      <c r="A38" s="8">
        <v>4</v>
      </c>
      <c r="B38" s="8" t="s">
        <v>15</v>
      </c>
      <c r="C38" s="8" t="s">
        <v>21</v>
      </c>
      <c r="D38" s="9">
        <v>110000</v>
      </c>
      <c r="E38" s="10">
        <v>110000</v>
      </c>
      <c r="F38" s="9">
        <f t="shared" si="3"/>
        <v>0</v>
      </c>
      <c r="G38" s="7"/>
    </row>
    <row r="39" spans="1:7" ht="22.05" customHeight="1" x14ac:dyDescent="0.6">
      <c r="A39" s="8">
        <v>5</v>
      </c>
      <c r="B39" s="8" t="s">
        <v>16</v>
      </c>
      <c r="C39" s="8" t="s">
        <v>21</v>
      </c>
      <c r="D39" s="9">
        <v>110000</v>
      </c>
      <c r="E39" s="10">
        <v>120000</v>
      </c>
      <c r="F39" s="9">
        <f t="shared" si="3"/>
        <v>10000</v>
      </c>
      <c r="G39" s="7"/>
    </row>
    <row r="40" spans="1:7" ht="22.05" customHeight="1" x14ac:dyDescent="0.6">
      <c r="A40" s="8">
        <v>6</v>
      </c>
      <c r="B40" s="8" t="s">
        <v>7</v>
      </c>
      <c r="C40" s="8" t="s">
        <v>21</v>
      </c>
      <c r="D40" s="9">
        <v>280000</v>
      </c>
      <c r="E40" s="10">
        <v>280000</v>
      </c>
      <c r="F40" s="9">
        <f t="shared" si="3"/>
        <v>0</v>
      </c>
      <c r="G40" s="7" t="s">
        <v>25</v>
      </c>
    </row>
    <row r="41" spans="1:7" ht="22.05" customHeight="1" x14ac:dyDescent="0.6">
      <c r="A41" s="8">
        <v>7</v>
      </c>
      <c r="B41" s="8" t="s">
        <v>26</v>
      </c>
      <c r="C41" s="8" t="s">
        <v>21</v>
      </c>
      <c r="D41" s="9">
        <v>300000</v>
      </c>
      <c r="E41" s="10">
        <v>300000</v>
      </c>
      <c r="F41" s="9">
        <f t="shared" si="3"/>
        <v>0</v>
      </c>
      <c r="G41" s="7" t="s">
        <v>27</v>
      </c>
    </row>
    <row r="42" spans="1:7" ht="22.05" customHeight="1" x14ac:dyDescent="0.6">
      <c r="A42" s="8">
        <v>8</v>
      </c>
      <c r="B42" s="8" t="s">
        <v>28</v>
      </c>
      <c r="C42" s="8" t="s">
        <v>21</v>
      </c>
      <c r="D42" s="9">
        <v>300000</v>
      </c>
      <c r="E42" s="10">
        <v>350000</v>
      </c>
      <c r="F42" s="9">
        <f t="shared" ref="F42" si="4">E42-D42</f>
        <v>50000</v>
      </c>
      <c r="G42" s="7" t="s">
        <v>29</v>
      </c>
    </row>
    <row r="43" spans="1:7" ht="22.05" customHeight="1" x14ac:dyDescent="0.6">
      <c r="A43" s="8">
        <v>9</v>
      </c>
      <c r="B43" s="8" t="s">
        <v>23</v>
      </c>
      <c r="C43" s="8" t="s">
        <v>21</v>
      </c>
      <c r="D43" s="9">
        <v>0</v>
      </c>
      <c r="E43" s="10">
        <v>12500</v>
      </c>
      <c r="F43" s="9">
        <f t="shared" si="3"/>
        <v>12500</v>
      </c>
      <c r="G43" s="7"/>
    </row>
    <row r="44" spans="1:7" ht="22.05" customHeight="1" x14ac:dyDescent="0.6">
      <c r="A44" s="8">
        <v>10</v>
      </c>
      <c r="B44" s="8" t="s">
        <v>24</v>
      </c>
      <c r="C44" s="8" t="s">
        <v>21</v>
      </c>
      <c r="D44" s="9">
        <v>20000</v>
      </c>
      <c r="E44" s="10">
        <v>25000</v>
      </c>
      <c r="F44" s="9">
        <f t="shared" ref="F44" si="5">E44-D44</f>
        <v>5000</v>
      </c>
      <c r="G44" s="15"/>
    </row>
    <row r="45" spans="1:7" ht="22.05" customHeight="1" x14ac:dyDescent="0.6">
      <c r="A45" s="24"/>
      <c r="B45" s="2"/>
      <c r="C45" s="2"/>
      <c r="D45" s="2"/>
      <c r="E45" s="2"/>
      <c r="F45" s="2"/>
      <c r="G45" s="2"/>
    </row>
    <row r="46" spans="1:7" ht="22.05" customHeight="1" x14ac:dyDescent="0.6">
      <c r="A46" s="26" t="s">
        <v>131</v>
      </c>
      <c r="B46" s="3"/>
      <c r="C46" s="2"/>
      <c r="D46" s="2"/>
      <c r="E46" s="2"/>
      <c r="F46" s="2"/>
      <c r="G46" s="2"/>
    </row>
    <row r="47" spans="1:7" ht="22.05" customHeight="1" x14ac:dyDescent="0.6">
      <c r="A47" s="5" t="s">
        <v>119</v>
      </c>
      <c r="B47" s="5" t="s">
        <v>1</v>
      </c>
      <c r="C47" s="5" t="s">
        <v>2</v>
      </c>
      <c r="D47" s="5" t="s">
        <v>41</v>
      </c>
      <c r="E47" s="5" t="s">
        <v>42</v>
      </c>
      <c r="F47" s="5" t="s">
        <v>3</v>
      </c>
      <c r="G47" s="6" t="s">
        <v>0</v>
      </c>
    </row>
    <row r="48" spans="1:7" ht="22.05" customHeight="1" x14ac:dyDescent="0.6">
      <c r="A48" s="28">
        <v>1</v>
      </c>
      <c r="B48" s="28" t="s">
        <v>5</v>
      </c>
      <c r="C48" s="28" t="s">
        <v>21</v>
      </c>
      <c r="D48" s="29">
        <v>0</v>
      </c>
      <c r="E48" s="30">
        <v>90000</v>
      </c>
      <c r="F48" s="29"/>
      <c r="G48" s="41" t="s">
        <v>132</v>
      </c>
    </row>
    <row r="49" spans="1:7" ht="22.05" customHeight="1" x14ac:dyDescent="0.6">
      <c r="A49" s="32">
        <v>2</v>
      </c>
      <c r="B49" s="32" t="s">
        <v>5</v>
      </c>
      <c r="C49" s="32" t="s">
        <v>33</v>
      </c>
      <c r="D49" s="33">
        <v>0</v>
      </c>
      <c r="E49" s="34">
        <v>85000</v>
      </c>
      <c r="F49" s="33"/>
      <c r="G49" s="35"/>
    </row>
    <row r="50" spans="1:7" ht="22.05" customHeight="1" x14ac:dyDescent="0.6">
      <c r="A50" s="37">
        <v>3</v>
      </c>
      <c r="B50" s="37" t="s">
        <v>5</v>
      </c>
      <c r="C50" s="37" t="s">
        <v>32</v>
      </c>
      <c r="D50" s="38">
        <v>0</v>
      </c>
      <c r="E50" s="39">
        <v>140000</v>
      </c>
      <c r="F50" s="38"/>
      <c r="G50" s="40"/>
    </row>
    <row r="51" spans="1:7" ht="22.05" customHeight="1" x14ac:dyDescent="0.6">
      <c r="A51" s="28">
        <v>4</v>
      </c>
      <c r="B51" s="28" t="s">
        <v>6</v>
      </c>
      <c r="C51" s="28" t="s">
        <v>21</v>
      </c>
      <c r="D51" s="29"/>
      <c r="E51" s="30">
        <v>70000</v>
      </c>
      <c r="F51" s="29"/>
      <c r="G51" s="41"/>
    </row>
    <row r="52" spans="1:7" ht="22.05" customHeight="1" x14ac:dyDescent="0.6">
      <c r="A52" s="32">
        <v>5</v>
      </c>
      <c r="B52" s="32" t="s">
        <v>6</v>
      </c>
      <c r="C52" s="32" t="s">
        <v>33</v>
      </c>
      <c r="D52" s="33"/>
      <c r="E52" s="34">
        <v>65000</v>
      </c>
      <c r="F52" s="33"/>
      <c r="G52" s="35"/>
    </row>
    <row r="53" spans="1:7" ht="22.05" customHeight="1" x14ac:dyDescent="0.6">
      <c r="A53" s="37">
        <v>6</v>
      </c>
      <c r="B53" s="37" t="s">
        <v>6</v>
      </c>
      <c r="C53" s="37" t="s">
        <v>32</v>
      </c>
      <c r="D53" s="38"/>
      <c r="E53" s="39">
        <v>120000</v>
      </c>
      <c r="F53" s="38"/>
      <c r="G53" s="40"/>
    </row>
    <row r="54" spans="1:7" ht="22.05" customHeight="1" x14ac:dyDescent="0.6">
      <c r="A54" s="24"/>
      <c r="B54" s="2"/>
      <c r="C54" s="2"/>
      <c r="D54" s="2"/>
      <c r="E54" s="2"/>
      <c r="F54" s="2"/>
      <c r="G54" s="2"/>
    </row>
    <row r="55" spans="1:7" ht="22.05" customHeight="1" x14ac:dyDescent="0.6">
      <c r="A55" s="26" t="s">
        <v>30</v>
      </c>
      <c r="B55" s="3"/>
      <c r="C55" s="2"/>
      <c r="D55" s="2"/>
      <c r="E55" s="2"/>
      <c r="F55" s="2"/>
      <c r="G55" s="2"/>
    </row>
    <row r="56" spans="1:7" ht="22.05" customHeight="1" x14ac:dyDescent="0.6">
      <c r="A56" s="5" t="s">
        <v>119</v>
      </c>
      <c r="B56" s="5" t="s">
        <v>1</v>
      </c>
      <c r="C56" s="5" t="s">
        <v>2</v>
      </c>
      <c r="D56" s="5" t="s">
        <v>41</v>
      </c>
      <c r="E56" s="5" t="s">
        <v>42</v>
      </c>
      <c r="F56" s="5" t="s">
        <v>3</v>
      </c>
      <c r="G56" s="6" t="s">
        <v>0</v>
      </c>
    </row>
    <row r="57" spans="1:7" ht="22.05" customHeight="1" x14ac:dyDescent="0.6">
      <c r="A57" s="28">
        <v>1</v>
      </c>
      <c r="B57" s="28" t="s">
        <v>31</v>
      </c>
      <c r="C57" s="28" t="s">
        <v>4</v>
      </c>
      <c r="D57" s="29">
        <v>130000</v>
      </c>
      <c r="E57" s="30">
        <v>140000</v>
      </c>
      <c r="F57" s="29">
        <f t="shared" ref="F57:F62" si="6">E57-D57</f>
        <v>10000</v>
      </c>
      <c r="G57" s="31"/>
    </row>
    <row r="58" spans="1:7" ht="22.05" customHeight="1" x14ac:dyDescent="0.6">
      <c r="A58" s="32">
        <v>2</v>
      </c>
      <c r="B58" s="32" t="s">
        <v>31</v>
      </c>
      <c r="C58" s="32" t="s">
        <v>32</v>
      </c>
      <c r="D58" s="33">
        <v>120000</v>
      </c>
      <c r="E58" s="34">
        <v>120000</v>
      </c>
      <c r="F58" s="33">
        <f t="shared" si="6"/>
        <v>0</v>
      </c>
      <c r="G58" s="35" t="s">
        <v>19</v>
      </c>
    </row>
    <row r="59" spans="1:7" ht="22.05" customHeight="1" x14ac:dyDescent="0.6">
      <c r="A59" s="32">
        <v>3</v>
      </c>
      <c r="B59" s="32" t="s">
        <v>31</v>
      </c>
      <c r="C59" s="32" t="s">
        <v>33</v>
      </c>
      <c r="D59" s="33">
        <v>110000</v>
      </c>
      <c r="E59" s="34">
        <v>110000</v>
      </c>
      <c r="F59" s="33">
        <f t="shared" si="6"/>
        <v>0</v>
      </c>
      <c r="G59" s="35" t="s">
        <v>19</v>
      </c>
    </row>
    <row r="60" spans="1:7" ht="22.05" customHeight="1" x14ac:dyDescent="0.6">
      <c r="A60" s="32">
        <v>4</v>
      </c>
      <c r="B60" s="32" t="s">
        <v>31</v>
      </c>
      <c r="C60" s="32" t="s">
        <v>21</v>
      </c>
      <c r="D60" s="33">
        <v>100000</v>
      </c>
      <c r="E60" s="34">
        <v>100000</v>
      </c>
      <c r="F60" s="33">
        <f t="shared" si="6"/>
        <v>0</v>
      </c>
      <c r="G60" s="35" t="s">
        <v>19</v>
      </c>
    </row>
    <row r="61" spans="1:7" ht="22.05" customHeight="1" x14ac:dyDescent="0.6">
      <c r="A61" s="32">
        <v>5</v>
      </c>
      <c r="B61" s="32" t="s">
        <v>31</v>
      </c>
      <c r="C61" s="32" t="s">
        <v>34</v>
      </c>
      <c r="D61" s="33">
        <v>140000</v>
      </c>
      <c r="E61" s="34">
        <v>150000</v>
      </c>
      <c r="F61" s="33">
        <f t="shared" si="6"/>
        <v>10000</v>
      </c>
      <c r="G61" s="36"/>
    </row>
    <row r="62" spans="1:7" ht="22.05" customHeight="1" x14ac:dyDescent="0.6">
      <c r="A62" s="37">
        <v>6</v>
      </c>
      <c r="B62" s="37" t="s">
        <v>31</v>
      </c>
      <c r="C62" s="37" t="s">
        <v>35</v>
      </c>
      <c r="D62" s="38">
        <v>300000</v>
      </c>
      <c r="E62" s="39">
        <v>300000</v>
      </c>
      <c r="F62" s="38">
        <f t="shared" si="6"/>
        <v>0</v>
      </c>
      <c r="G62" s="40" t="s">
        <v>19</v>
      </c>
    </row>
    <row r="63" spans="1:7" ht="22.05" customHeight="1" x14ac:dyDescent="0.6">
      <c r="A63" s="28">
        <v>7</v>
      </c>
      <c r="B63" s="28" t="s">
        <v>36</v>
      </c>
      <c r="C63" s="28" t="s">
        <v>4</v>
      </c>
      <c r="D63" s="29">
        <v>430000</v>
      </c>
      <c r="E63" s="30">
        <v>450000</v>
      </c>
      <c r="F63" s="29">
        <f t="shared" ref="F63:F68" si="7">E63-D63</f>
        <v>20000</v>
      </c>
      <c r="G63" s="31"/>
    </row>
    <row r="64" spans="1:7" ht="22.05" customHeight="1" x14ac:dyDescent="0.6">
      <c r="A64" s="32">
        <v>8</v>
      </c>
      <c r="B64" s="32" t="s">
        <v>36</v>
      </c>
      <c r="C64" s="32" t="s">
        <v>32</v>
      </c>
      <c r="D64" s="33">
        <v>380000</v>
      </c>
      <c r="E64" s="34">
        <v>380000</v>
      </c>
      <c r="F64" s="33">
        <f t="shared" si="7"/>
        <v>0</v>
      </c>
      <c r="G64" s="35" t="s">
        <v>19</v>
      </c>
    </row>
    <row r="65" spans="1:7" ht="22.05" customHeight="1" x14ac:dyDescent="0.6">
      <c r="A65" s="32">
        <v>9</v>
      </c>
      <c r="B65" s="32" t="s">
        <v>36</v>
      </c>
      <c r="C65" s="32" t="s">
        <v>33</v>
      </c>
      <c r="D65" s="33">
        <v>320000</v>
      </c>
      <c r="E65" s="34">
        <v>320000</v>
      </c>
      <c r="F65" s="33">
        <f t="shared" si="7"/>
        <v>0</v>
      </c>
      <c r="G65" s="35" t="s">
        <v>19</v>
      </c>
    </row>
    <row r="66" spans="1:7" ht="22.05" customHeight="1" x14ac:dyDescent="0.6">
      <c r="A66" s="32">
        <v>10</v>
      </c>
      <c r="B66" s="32" t="s">
        <v>36</v>
      </c>
      <c r="C66" s="32" t="s">
        <v>21</v>
      </c>
      <c r="D66" s="33">
        <v>280000</v>
      </c>
      <c r="E66" s="34">
        <v>280000</v>
      </c>
      <c r="F66" s="33">
        <f t="shared" si="7"/>
        <v>0</v>
      </c>
      <c r="G66" s="35" t="s">
        <v>19</v>
      </c>
    </row>
    <row r="67" spans="1:7" ht="22.05" customHeight="1" x14ac:dyDescent="0.6">
      <c r="A67" s="32">
        <v>11</v>
      </c>
      <c r="B67" s="32" t="s">
        <v>36</v>
      </c>
      <c r="C67" s="32" t="s">
        <v>34</v>
      </c>
      <c r="D67" s="33">
        <v>380000</v>
      </c>
      <c r="E67" s="34">
        <v>400000</v>
      </c>
      <c r="F67" s="33">
        <f t="shared" si="7"/>
        <v>20000</v>
      </c>
      <c r="G67" s="36"/>
    </row>
    <row r="68" spans="1:7" ht="22.05" customHeight="1" x14ac:dyDescent="0.6">
      <c r="A68" s="37">
        <v>12</v>
      </c>
      <c r="B68" s="37" t="s">
        <v>36</v>
      </c>
      <c r="C68" s="37" t="s">
        <v>35</v>
      </c>
      <c r="D68" s="38">
        <v>750000</v>
      </c>
      <c r="E68" s="39">
        <v>750000</v>
      </c>
      <c r="F68" s="38">
        <f t="shared" si="7"/>
        <v>0</v>
      </c>
      <c r="G68" s="40" t="s">
        <v>19</v>
      </c>
    </row>
    <row r="69" spans="1:7" ht="22.05" customHeight="1" x14ac:dyDescent="0.6">
      <c r="A69" s="28">
        <v>13</v>
      </c>
      <c r="B69" s="28" t="s">
        <v>37</v>
      </c>
      <c r="C69" s="28" t="s">
        <v>4</v>
      </c>
      <c r="D69" s="29">
        <v>320000</v>
      </c>
      <c r="E69" s="30">
        <v>320000</v>
      </c>
      <c r="F69" s="29">
        <f t="shared" ref="F69:F74" si="8">E69-D69</f>
        <v>0</v>
      </c>
      <c r="G69" s="41" t="s">
        <v>19</v>
      </c>
    </row>
    <row r="70" spans="1:7" ht="22.05" customHeight="1" x14ac:dyDescent="0.6">
      <c r="A70" s="32">
        <v>14</v>
      </c>
      <c r="B70" s="32" t="s">
        <v>37</v>
      </c>
      <c r="C70" s="32" t="s">
        <v>32</v>
      </c>
      <c r="D70" s="33">
        <v>270000</v>
      </c>
      <c r="E70" s="34">
        <v>270000</v>
      </c>
      <c r="F70" s="33">
        <f t="shared" si="8"/>
        <v>0</v>
      </c>
      <c r="G70" s="35" t="s">
        <v>19</v>
      </c>
    </row>
    <row r="71" spans="1:7" ht="22.05" customHeight="1" x14ac:dyDescent="0.6">
      <c r="A71" s="32">
        <v>15</v>
      </c>
      <c r="B71" s="32" t="s">
        <v>37</v>
      </c>
      <c r="C71" s="32" t="s">
        <v>33</v>
      </c>
      <c r="D71" s="33">
        <v>220000</v>
      </c>
      <c r="E71" s="34">
        <v>220000</v>
      </c>
      <c r="F71" s="33">
        <f t="shared" si="8"/>
        <v>0</v>
      </c>
      <c r="G71" s="35" t="s">
        <v>19</v>
      </c>
    </row>
    <row r="72" spans="1:7" ht="22.05" customHeight="1" x14ac:dyDescent="0.6">
      <c r="A72" s="32">
        <v>16</v>
      </c>
      <c r="B72" s="32" t="s">
        <v>37</v>
      </c>
      <c r="C72" s="32" t="s">
        <v>21</v>
      </c>
      <c r="D72" s="33">
        <v>200000</v>
      </c>
      <c r="E72" s="34">
        <v>200000</v>
      </c>
      <c r="F72" s="33">
        <f t="shared" si="8"/>
        <v>0</v>
      </c>
      <c r="G72" s="35" t="s">
        <v>19</v>
      </c>
    </row>
    <row r="73" spans="1:7" ht="22.05" customHeight="1" x14ac:dyDescent="0.6">
      <c r="A73" s="32">
        <v>17</v>
      </c>
      <c r="B73" s="32" t="s">
        <v>37</v>
      </c>
      <c r="C73" s="32" t="s">
        <v>34</v>
      </c>
      <c r="D73" s="33">
        <v>270000</v>
      </c>
      <c r="E73" s="34">
        <v>290000</v>
      </c>
      <c r="F73" s="33">
        <f t="shared" si="8"/>
        <v>20000</v>
      </c>
      <c r="G73" s="36"/>
    </row>
    <row r="74" spans="1:7" ht="22.05" customHeight="1" x14ac:dyDescent="0.6">
      <c r="A74" s="37">
        <v>18</v>
      </c>
      <c r="B74" s="37" t="s">
        <v>37</v>
      </c>
      <c r="C74" s="37" t="s">
        <v>35</v>
      </c>
      <c r="D74" s="38">
        <v>500000</v>
      </c>
      <c r="E74" s="39">
        <v>500000</v>
      </c>
      <c r="F74" s="38">
        <f t="shared" si="8"/>
        <v>0</v>
      </c>
      <c r="G74" s="40" t="s">
        <v>19</v>
      </c>
    </row>
    <row r="75" spans="1:7" ht="22.05" customHeight="1" x14ac:dyDescent="0.6">
      <c r="A75" s="28">
        <v>19</v>
      </c>
      <c r="B75" s="42" t="s">
        <v>38</v>
      </c>
      <c r="C75" s="28" t="s">
        <v>4</v>
      </c>
      <c r="D75" s="29">
        <v>20000</v>
      </c>
      <c r="E75" s="30">
        <v>20000</v>
      </c>
      <c r="F75" s="29">
        <f t="shared" ref="F75:F80" si="9">E75-D75</f>
        <v>0</v>
      </c>
      <c r="G75" s="31"/>
    </row>
    <row r="76" spans="1:7" ht="22.05" customHeight="1" x14ac:dyDescent="0.6">
      <c r="A76" s="32">
        <v>20</v>
      </c>
      <c r="B76" s="43" t="s">
        <v>38</v>
      </c>
      <c r="C76" s="32" t="s">
        <v>32</v>
      </c>
      <c r="D76" s="33">
        <v>20000</v>
      </c>
      <c r="E76" s="34">
        <v>20000</v>
      </c>
      <c r="F76" s="33">
        <f t="shared" si="9"/>
        <v>0</v>
      </c>
      <c r="G76" s="36"/>
    </row>
    <row r="77" spans="1:7" ht="22.05" customHeight="1" x14ac:dyDescent="0.6">
      <c r="A77" s="32">
        <v>21</v>
      </c>
      <c r="B77" s="43" t="s">
        <v>38</v>
      </c>
      <c r="C77" s="32" t="s">
        <v>33</v>
      </c>
      <c r="D77" s="33">
        <v>20000</v>
      </c>
      <c r="E77" s="34">
        <v>20000</v>
      </c>
      <c r="F77" s="33">
        <f t="shared" si="9"/>
        <v>0</v>
      </c>
      <c r="G77" s="36"/>
    </row>
    <row r="78" spans="1:7" ht="22.05" customHeight="1" x14ac:dyDescent="0.6">
      <c r="A78" s="32">
        <v>22</v>
      </c>
      <c r="B78" s="43" t="s">
        <v>38</v>
      </c>
      <c r="C78" s="32" t="s">
        <v>21</v>
      </c>
      <c r="D78" s="33">
        <v>20000</v>
      </c>
      <c r="E78" s="34">
        <v>20000</v>
      </c>
      <c r="F78" s="33">
        <f t="shared" si="9"/>
        <v>0</v>
      </c>
      <c r="G78" s="36"/>
    </row>
    <row r="79" spans="1:7" ht="22.05" customHeight="1" x14ac:dyDescent="0.6">
      <c r="A79" s="32">
        <v>23</v>
      </c>
      <c r="B79" s="43" t="s">
        <v>38</v>
      </c>
      <c r="C79" s="32" t="s">
        <v>34</v>
      </c>
      <c r="D79" s="33">
        <v>20000</v>
      </c>
      <c r="E79" s="34">
        <v>20000</v>
      </c>
      <c r="F79" s="33">
        <f t="shared" si="9"/>
        <v>0</v>
      </c>
      <c r="G79" s="36"/>
    </row>
    <row r="80" spans="1:7" ht="22.05" customHeight="1" x14ac:dyDescent="0.6">
      <c r="A80" s="37">
        <v>24</v>
      </c>
      <c r="B80" s="44" t="s">
        <v>38</v>
      </c>
      <c r="C80" s="37" t="s">
        <v>35</v>
      </c>
      <c r="D80" s="38">
        <v>0</v>
      </c>
      <c r="E80" s="39">
        <v>0</v>
      </c>
      <c r="F80" s="38">
        <f t="shared" si="9"/>
        <v>0</v>
      </c>
      <c r="G80" s="45"/>
    </row>
    <row r="81" spans="1:7" ht="22.05" customHeight="1" x14ac:dyDescent="0.6">
      <c r="A81" s="28">
        <v>25</v>
      </c>
      <c r="B81" s="28" t="s">
        <v>11</v>
      </c>
      <c r="C81" s="28" t="s">
        <v>4</v>
      </c>
      <c r="D81" s="29">
        <v>40000</v>
      </c>
      <c r="E81" s="30">
        <v>40000</v>
      </c>
      <c r="F81" s="29">
        <f t="shared" ref="F81:F86" si="10">E81-D81</f>
        <v>0</v>
      </c>
      <c r="G81" s="31"/>
    </row>
    <row r="82" spans="1:7" ht="22.05" customHeight="1" x14ac:dyDescent="0.6">
      <c r="A82" s="32">
        <v>26</v>
      </c>
      <c r="B82" s="32" t="s">
        <v>11</v>
      </c>
      <c r="C82" s="32" t="s">
        <v>32</v>
      </c>
      <c r="D82" s="33">
        <v>35000</v>
      </c>
      <c r="E82" s="34">
        <v>35000</v>
      </c>
      <c r="F82" s="33">
        <f t="shared" si="10"/>
        <v>0</v>
      </c>
      <c r="G82" s="36"/>
    </row>
    <row r="83" spans="1:7" ht="22.05" customHeight="1" x14ac:dyDescent="0.6">
      <c r="A83" s="32">
        <v>27</v>
      </c>
      <c r="B83" s="32" t="s">
        <v>11</v>
      </c>
      <c r="C83" s="32" t="s">
        <v>33</v>
      </c>
      <c r="D83" s="33">
        <v>30000</v>
      </c>
      <c r="E83" s="34">
        <v>30000</v>
      </c>
      <c r="F83" s="33">
        <f t="shared" si="10"/>
        <v>0</v>
      </c>
      <c r="G83" s="36"/>
    </row>
    <row r="84" spans="1:7" ht="22.05" customHeight="1" x14ac:dyDescent="0.6">
      <c r="A84" s="32">
        <v>28</v>
      </c>
      <c r="B84" s="32" t="s">
        <v>11</v>
      </c>
      <c r="C84" s="32" t="s">
        <v>21</v>
      </c>
      <c r="D84" s="33">
        <v>25000</v>
      </c>
      <c r="E84" s="34">
        <v>25000</v>
      </c>
      <c r="F84" s="33">
        <f t="shared" si="10"/>
        <v>0</v>
      </c>
      <c r="G84" s="36"/>
    </row>
    <row r="85" spans="1:7" ht="22.05" customHeight="1" x14ac:dyDescent="0.6">
      <c r="A85" s="32">
        <v>29</v>
      </c>
      <c r="B85" s="32" t="s">
        <v>11</v>
      </c>
      <c r="C85" s="32" t="s">
        <v>34</v>
      </c>
      <c r="D85" s="33">
        <v>35000</v>
      </c>
      <c r="E85" s="34">
        <v>35000</v>
      </c>
      <c r="F85" s="33">
        <f t="shared" si="10"/>
        <v>0</v>
      </c>
      <c r="G85" s="36"/>
    </row>
    <row r="86" spans="1:7" ht="22.05" customHeight="1" x14ac:dyDescent="0.6">
      <c r="A86" s="37">
        <v>30</v>
      </c>
      <c r="B86" s="37" t="s">
        <v>11</v>
      </c>
      <c r="C86" s="37" t="s">
        <v>35</v>
      </c>
      <c r="D86" s="38">
        <v>50000</v>
      </c>
      <c r="E86" s="39">
        <v>50000</v>
      </c>
      <c r="F86" s="38">
        <f t="shared" si="10"/>
        <v>0</v>
      </c>
      <c r="G86" s="45"/>
    </row>
    <row r="87" spans="1:7" ht="22.05" customHeight="1" x14ac:dyDescent="0.6">
      <c r="A87" s="23"/>
      <c r="B87" s="23"/>
      <c r="C87" s="23"/>
      <c r="D87" s="80"/>
      <c r="E87" s="81"/>
      <c r="F87" s="80"/>
      <c r="G87" s="2"/>
    </row>
    <row r="88" spans="1:7" ht="22.05" customHeight="1" x14ac:dyDescent="0.6">
      <c r="A88" s="26" t="s">
        <v>326</v>
      </c>
      <c r="B88" s="3"/>
      <c r="C88" s="2"/>
      <c r="D88" s="82" t="s">
        <v>336</v>
      </c>
      <c r="E88" s="82" t="s">
        <v>42</v>
      </c>
      <c r="F88" s="2"/>
      <c r="G88" s="2"/>
    </row>
    <row r="89" spans="1:7" ht="22.15" customHeight="1" x14ac:dyDescent="0.6">
      <c r="A89" s="28">
        <v>1</v>
      </c>
      <c r="B89" s="28" t="s">
        <v>319</v>
      </c>
      <c r="C89" s="28" t="s">
        <v>4</v>
      </c>
      <c r="D89" s="29">
        <v>180000</v>
      </c>
      <c r="E89" s="30">
        <v>270000</v>
      </c>
      <c r="F89" s="29">
        <f t="shared" ref="F89:F129" si="11">E89-D89</f>
        <v>90000</v>
      </c>
      <c r="G89" s="31" t="s">
        <v>328</v>
      </c>
    </row>
    <row r="90" spans="1:7" ht="22.15" customHeight="1" x14ac:dyDescent="0.6">
      <c r="A90" s="32">
        <v>2</v>
      </c>
      <c r="B90" s="32" t="s">
        <v>319</v>
      </c>
      <c r="C90" s="32" t="s">
        <v>32</v>
      </c>
      <c r="D90" s="33">
        <v>180000</v>
      </c>
      <c r="E90" s="34">
        <v>240000</v>
      </c>
      <c r="F90" s="33">
        <f t="shared" si="11"/>
        <v>60000</v>
      </c>
      <c r="G90" s="36"/>
    </row>
    <row r="91" spans="1:7" ht="22.15" customHeight="1" x14ac:dyDescent="0.6">
      <c r="A91" s="32">
        <v>3</v>
      </c>
      <c r="B91" s="32" t="s">
        <v>319</v>
      </c>
      <c r="C91" s="32" t="s">
        <v>33</v>
      </c>
      <c r="D91" s="33">
        <v>150000</v>
      </c>
      <c r="E91" s="34">
        <v>230000</v>
      </c>
      <c r="F91" s="33">
        <f t="shared" si="11"/>
        <v>80000</v>
      </c>
      <c r="G91" s="36"/>
    </row>
    <row r="92" spans="1:7" ht="22.15" customHeight="1" x14ac:dyDescent="0.6">
      <c r="A92" s="32">
        <v>4</v>
      </c>
      <c r="B92" s="32" t="s">
        <v>319</v>
      </c>
      <c r="C92" s="32" t="s">
        <v>21</v>
      </c>
      <c r="D92" s="33">
        <v>150000</v>
      </c>
      <c r="E92" s="34">
        <v>210000</v>
      </c>
      <c r="F92" s="33">
        <f t="shared" si="11"/>
        <v>60000</v>
      </c>
      <c r="G92" s="36"/>
    </row>
    <row r="93" spans="1:7" ht="22.15" customHeight="1" x14ac:dyDescent="0.6">
      <c r="A93" s="32">
        <v>5</v>
      </c>
      <c r="B93" s="32" t="s">
        <v>319</v>
      </c>
      <c r="C93" s="32" t="s">
        <v>34</v>
      </c>
      <c r="D93" s="33">
        <v>200000</v>
      </c>
      <c r="E93" s="34">
        <v>270000</v>
      </c>
      <c r="F93" s="33">
        <f t="shared" si="11"/>
        <v>70000</v>
      </c>
      <c r="G93" s="36"/>
    </row>
    <row r="94" spans="1:7" ht="22.15" customHeight="1" x14ac:dyDescent="0.6">
      <c r="A94" s="37">
        <v>6</v>
      </c>
      <c r="B94" s="37" t="s">
        <v>319</v>
      </c>
      <c r="C94" s="37" t="s">
        <v>35</v>
      </c>
      <c r="D94" s="38">
        <v>400000</v>
      </c>
      <c r="E94" s="39">
        <v>0</v>
      </c>
      <c r="F94" s="38"/>
      <c r="G94" s="45"/>
    </row>
    <row r="95" spans="1:7" ht="22.15" customHeight="1" x14ac:dyDescent="0.6">
      <c r="A95" s="28">
        <v>7</v>
      </c>
      <c r="B95" s="28" t="s">
        <v>320</v>
      </c>
      <c r="C95" s="28" t="s">
        <v>4</v>
      </c>
      <c r="D95" s="29">
        <v>150000</v>
      </c>
      <c r="E95" s="30">
        <v>200000</v>
      </c>
      <c r="F95" s="29">
        <f t="shared" si="11"/>
        <v>50000</v>
      </c>
      <c r="G95" s="31" t="s">
        <v>329</v>
      </c>
    </row>
    <row r="96" spans="1:7" ht="22.15" customHeight="1" x14ac:dyDescent="0.6">
      <c r="A96" s="32">
        <v>8</v>
      </c>
      <c r="B96" s="32" t="s">
        <v>320</v>
      </c>
      <c r="C96" s="32" t="s">
        <v>32</v>
      </c>
      <c r="D96" s="33">
        <v>150000</v>
      </c>
      <c r="E96" s="34">
        <v>180000</v>
      </c>
      <c r="F96" s="33">
        <f t="shared" si="11"/>
        <v>30000</v>
      </c>
      <c r="G96" s="36"/>
    </row>
    <row r="97" spans="1:7" ht="22.15" customHeight="1" x14ac:dyDescent="0.6">
      <c r="A97" s="32">
        <v>9</v>
      </c>
      <c r="B97" s="32" t="s">
        <v>320</v>
      </c>
      <c r="C97" s="32" t="s">
        <v>33</v>
      </c>
      <c r="D97" s="33">
        <v>130000</v>
      </c>
      <c r="E97" s="34">
        <v>170000</v>
      </c>
      <c r="F97" s="33">
        <f t="shared" si="11"/>
        <v>40000</v>
      </c>
      <c r="G97" s="36"/>
    </row>
    <row r="98" spans="1:7" ht="22.15" customHeight="1" x14ac:dyDescent="0.6">
      <c r="A98" s="32">
        <v>10</v>
      </c>
      <c r="B98" s="32" t="s">
        <v>320</v>
      </c>
      <c r="C98" s="32" t="s">
        <v>21</v>
      </c>
      <c r="D98" s="33">
        <v>130000</v>
      </c>
      <c r="E98" s="34">
        <v>160000</v>
      </c>
      <c r="F98" s="33">
        <f t="shared" si="11"/>
        <v>30000</v>
      </c>
      <c r="G98" s="36"/>
    </row>
    <row r="99" spans="1:7" ht="22.15" customHeight="1" x14ac:dyDescent="0.6">
      <c r="A99" s="32">
        <v>11</v>
      </c>
      <c r="B99" s="32" t="s">
        <v>320</v>
      </c>
      <c r="C99" s="32" t="s">
        <v>34</v>
      </c>
      <c r="D99" s="33">
        <v>170000</v>
      </c>
      <c r="E99" s="34">
        <v>200000</v>
      </c>
      <c r="F99" s="33">
        <f t="shared" si="11"/>
        <v>30000</v>
      </c>
      <c r="G99" s="36"/>
    </row>
    <row r="100" spans="1:7" ht="22.15" customHeight="1" x14ac:dyDescent="0.6">
      <c r="A100" s="37">
        <v>12</v>
      </c>
      <c r="B100" s="37" t="s">
        <v>320</v>
      </c>
      <c r="C100" s="37" t="s">
        <v>35</v>
      </c>
      <c r="D100" s="38">
        <v>350000</v>
      </c>
      <c r="E100" s="39">
        <v>0</v>
      </c>
      <c r="F100" s="38"/>
      <c r="G100" s="45"/>
    </row>
    <row r="101" spans="1:7" ht="22.15" customHeight="1" x14ac:dyDescent="0.6">
      <c r="A101" s="28">
        <v>13</v>
      </c>
      <c r="B101" s="28" t="s">
        <v>321</v>
      </c>
      <c r="C101" s="28" t="s">
        <v>4</v>
      </c>
      <c r="D101" s="29">
        <v>170000</v>
      </c>
      <c r="E101" s="30">
        <v>230000</v>
      </c>
      <c r="F101" s="29">
        <f t="shared" si="11"/>
        <v>60000</v>
      </c>
      <c r="G101" s="31" t="s">
        <v>330</v>
      </c>
    </row>
    <row r="102" spans="1:7" ht="22.15" customHeight="1" x14ac:dyDescent="0.6">
      <c r="A102" s="32">
        <v>14</v>
      </c>
      <c r="B102" s="32" t="s">
        <v>321</v>
      </c>
      <c r="C102" s="32" t="s">
        <v>32</v>
      </c>
      <c r="D102" s="33">
        <v>170000</v>
      </c>
      <c r="E102" s="34">
        <v>200000</v>
      </c>
      <c r="F102" s="33">
        <f t="shared" si="11"/>
        <v>30000</v>
      </c>
      <c r="G102" s="36"/>
    </row>
    <row r="103" spans="1:7" ht="22.15" customHeight="1" x14ac:dyDescent="0.6">
      <c r="A103" s="32">
        <v>15</v>
      </c>
      <c r="B103" s="32" t="s">
        <v>321</v>
      </c>
      <c r="C103" s="32" t="s">
        <v>33</v>
      </c>
      <c r="D103" s="33">
        <v>140000</v>
      </c>
      <c r="E103" s="34">
        <v>180000</v>
      </c>
      <c r="F103" s="33">
        <f t="shared" si="11"/>
        <v>40000</v>
      </c>
      <c r="G103" s="36"/>
    </row>
    <row r="104" spans="1:7" ht="22.15" customHeight="1" x14ac:dyDescent="0.6">
      <c r="A104" s="32">
        <v>16</v>
      </c>
      <c r="B104" s="32" t="s">
        <v>321</v>
      </c>
      <c r="C104" s="32" t="s">
        <v>21</v>
      </c>
      <c r="D104" s="33">
        <v>140000</v>
      </c>
      <c r="E104" s="34">
        <v>170000</v>
      </c>
      <c r="F104" s="33">
        <f t="shared" si="11"/>
        <v>30000</v>
      </c>
      <c r="G104" s="36"/>
    </row>
    <row r="105" spans="1:7" ht="22.15" customHeight="1" x14ac:dyDescent="0.6">
      <c r="A105" s="32">
        <v>17</v>
      </c>
      <c r="B105" s="32" t="s">
        <v>321</v>
      </c>
      <c r="C105" s="32" t="s">
        <v>34</v>
      </c>
      <c r="D105" s="33">
        <v>180000</v>
      </c>
      <c r="E105" s="34">
        <v>230000</v>
      </c>
      <c r="F105" s="33">
        <f t="shared" si="11"/>
        <v>50000</v>
      </c>
      <c r="G105" s="36"/>
    </row>
    <row r="106" spans="1:7" ht="22.15" customHeight="1" x14ac:dyDescent="0.6">
      <c r="A106" s="37">
        <v>18</v>
      </c>
      <c r="B106" s="37" t="s">
        <v>321</v>
      </c>
      <c r="C106" s="37" t="s">
        <v>35</v>
      </c>
      <c r="D106" s="38">
        <v>400000</v>
      </c>
      <c r="E106" s="39">
        <v>0</v>
      </c>
      <c r="F106" s="38"/>
      <c r="G106" s="45"/>
    </row>
    <row r="107" spans="1:7" ht="22.15" customHeight="1" x14ac:dyDescent="0.6">
      <c r="A107" s="28">
        <v>19</v>
      </c>
      <c r="B107" s="28" t="s">
        <v>322</v>
      </c>
      <c r="C107" s="28" t="s">
        <v>4</v>
      </c>
      <c r="D107" s="29">
        <v>180000</v>
      </c>
      <c r="E107" s="30">
        <v>230000</v>
      </c>
      <c r="F107" s="29">
        <f t="shared" si="11"/>
        <v>50000</v>
      </c>
      <c r="G107" s="31" t="s">
        <v>331</v>
      </c>
    </row>
    <row r="108" spans="1:7" ht="22.15" customHeight="1" x14ac:dyDescent="0.6">
      <c r="A108" s="32">
        <v>20</v>
      </c>
      <c r="B108" s="32" t="s">
        <v>322</v>
      </c>
      <c r="C108" s="32" t="s">
        <v>32</v>
      </c>
      <c r="D108" s="33">
        <v>180000</v>
      </c>
      <c r="E108" s="34">
        <v>200000</v>
      </c>
      <c r="F108" s="33">
        <f t="shared" si="11"/>
        <v>20000</v>
      </c>
      <c r="G108" s="36"/>
    </row>
    <row r="109" spans="1:7" ht="22.15" customHeight="1" x14ac:dyDescent="0.6">
      <c r="A109" s="32">
        <v>21</v>
      </c>
      <c r="B109" s="32" t="s">
        <v>322</v>
      </c>
      <c r="C109" s="32" t="s">
        <v>33</v>
      </c>
      <c r="D109" s="33">
        <v>150000</v>
      </c>
      <c r="E109" s="34">
        <v>180000</v>
      </c>
      <c r="F109" s="33">
        <f t="shared" si="11"/>
        <v>30000</v>
      </c>
      <c r="G109" s="36"/>
    </row>
    <row r="110" spans="1:7" ht="22.15" customHeight="1" x14ac:dyDescent="0.6">
      <c r="A110" s="32">
        <v>22</v>
      </c>
      <c r="B110" s="32" t="s">
        <v>322</v>
      </c>
      <c r="C110" s="32" t="s">
        <v>21</v>
      </c>
      <c r="D110" s="33">
        <v>150000</v>
      </c>
      <c r="E110" s="34">
        <v>170000</v>
      </c>
      <c r="F110" s="33">
        <f t="shared" si="11"/>
        <v>20000</v>
      </c>
      <c r="G110" s="36"/>
    </row>
    <row r="111" spans="1:7" ht="22.15" customHeight="1" x14ac:dyDescent="0.6">
      <c r="A111" s="32">
        <v>23</v>
      </c>
      <c r="B111" s="32" t="s">
        <v>322</v>
      </c>
      <c r="C111" s="32" t="s">
        <v>34</v>
      </c>
      <c r="D111" s="33">
        <v>200000</v>
      </c>
      <c r="E111" s="34">
        <v>230000</v>
      </c>
      <c r="F111" s="33">
        <f t="shared" si="11"/>
        <v>30000</v>
      </c>
      <c r="G111" s="36"/>
    </row>
    <row r="112" spans="1:7" ht="22.15" customHeight="1" x14ac:dyDescent="0.6">
      <c r="A112" s="37">
        <v>24</v>
      </c>
      <c r="B112" s="37" t="s">
        <v>322</v>
      </c>
      <c r="C112" s="37" t="s">
        <v>35</v>
      </c>
      <c r="D112" s="38">
        <v>400000</v>
      </c>
      <c r="E112" s="39">
        <v>0</v>
      </c>
      <c r="F112" s="38"/>
      <c r="G112" s="45"/>
    </row>
    <row r="113" spans="1:7" ht="22.15" customHeight="1" x14ac:dyDescent="0.6">
      <c r="A113" s="28">
        <v>25</v>
      </c>
      <c r="B113" s="28" t="s">
        <v>323</v>
      </c>
      <c r="C113" s="28" t="s">
        <v>4</v>
      </c>
      <c r="D113" s="29">
        <v>200000</v>
      </c>
      <c r="E113" s="30">
        <v>250000</v>
      </c>
      <c r="F113" s="29">
        <f t="shared" si="11"/>
        <v>50000</v>
      </c>
      <c r="G113" s="31" t="s">
        <v>332</v>
      </c>
    </row>
    <row r="114" spans="1:7" ht="22.15" customHeight="1" x14ac:dyDescent="0.6">
      <c r="A114" s="32">
        <v>26</v>
      </c>
      <c r="B114" s="32" t="s">
        <v>323</v>
      </c>
      <c r="C114" s="32" t="s">
        <v>32</v>
      </c>
      <c r="D114" s="33">
        <v>200000</v>
      </c>
      <c r="E114" s="34">
        <v>230000</v>
      </c>
      <c r="F114" s="33">
        <f t="shared" si="11"/>
        <v>30000</v>
      </c>
      <c r="G114" s="36"/>
    </row>
    <row r="115" spans="1:7" ht="22.15" customHeight="1" x14ac:dyDescent="0.6">
      <c r="A115" s="32">
        <v>27</v>
      </c>
      <c r="B115" s="32" t="s">
        <v>323</v>
      </c>
      <c r="C115" s="32" t="s">
        <v>33</v>
      </c>
      <c r="D115" s="33">
        <v>170000</v>
      </c>
      <c r="E115" s="34">
        <v>220000</v>
      </c>
      <c r="F115" s="33">
        <f t="shared" si="11"/>
        <v>50000</v>
      </c>
      <c r="G115" s="36"/>
    </row>
    <row r="116" spans="1:7" ht="22.15" customHeight="1" x14ac:dyDescent="0.6">
      <c r="A116" s="32">
        <v>28</v>
      </c>
      <c r="B116" s="32" t="s">
        <v>323</v>
      </c>
      <c r="C116" s="32" t="s">
        <v>21</v>
      </c>
      <c r="D116" s="33">
        <v>170000</v>
      </c>
      <c r="E116" s="34">
        <v>200000</v>
      </c>
      <c r="F116" s="33">
        <f t="shared" si="11"/>
        <v>30000</v>
      </c>
      <c r="G116" s="36"/>
    </row>
    <row r="117" spans="1:7" ht="22.15" customHeight="1" x14ac:dyDescent="0.6">
      <c r="A117" s="32">
        <v>29</v>
      </c>
      <c r="B117" s="32" t="s">
        <v>323</v>
      </c>
      <c r="C117" s="32" t="s">
        <v>34</v>
      </c>
      <c r="D117" s="33">
        <v>200000</v>
      </c>
      <c r="E117" s="34">
        <v>250000</v>
      </c>
      <c r="F117" s="33">
        <f t="shared" si="11"/>
        <v>50000</v>
      </c>
      <c r="G117" s="36"/>
    </row>
    <row r="118" spans="1:7" ht="22.15" customHeight="1" x14ac:dyDescent="0.6">
      <c r="A118" s="37">
        <v>30</v>
      </c>
      <c r="B118" s="37" t="s">
        <v>323</v>
      </c>
      <c r="C118" s="37" t="s">
        <v>35</v>
      </c>
      <c r="D118" s="38">
        <v>450000</v>
      </c>
      <c r="E118" s="39">
        <v>0</v>
      </c>
      <c r="F118" s="38"/>
      <c r="G118" s="45"/>
    </row>
    <row r="119" spans="1:7" ht="22.15" customHeight="1" x14ac:dyDescent="0.6">
      <c r="A119" s="28">
        <v>31</v>
      </c>
      <c r="B119" s="28" t="s">
        <v>324</v>
      </c>
      <c r="C119" s="28" t="s">
        <v>4</v>
      </c>
      <c r="D119" s="29">
        <v>250000</v>
      </c>
      <c r="E119" s="30">
        <v>300000</v>
      </c>
      <c r="F119" s="29">
        <f t="shared" si="11"/>
        <v>50000</v>
      </c>
      <c r="G119" s="31" t="s">
        <v>333</v>
      </c>
    </row>
    <row r="120" spans="1:7" ht="22.15" customHeight="1" x14ac:dyDescent="0.6">
      <c r="A120" s="32">
        <v>32</v>
      </c>
      <c r="B120" s="32" t="s">
        <v>324</v>
      </c>
      <c r="C120" s="32" t="s">
        <v>32</v>
      </c>
      <c r="D120" s="33">
        <v>250000</v>
      </c>
      <c r="E120" s="83"/>
      <c r="F120" s="33">
        <f t="shared" si="11"/>
        <v>-250000</v>
      </c>
      <c r="G120" s="36"/>
    </row>
    <row r="121" spans="1:7" ht="22.15" customHeight="1" x14ac:dyDescent="0.6">
      <c r="A121" s="32">
        <v>33</v>
      </c>
      <c r="B121" s="32" t="s">
        <v>324</v>
      </c>
      <c r="C121" s="32" t="s">
        <v>33</v>
      </c>
      <c r="D121" s="33">
        <v>220000</v>
      </c>
      <c r="E121" s="83"/>
      <c r="F121" s="33">
        <f t="shared" si="11"/>
        <v>-220000</v>
      </c>
      <c r="G121" s="36"/>
    </row>
    <row r="122" spans="1:7" ht="22.15" customHeight="1" x14ac:dyDescent="0.6">
      <c r="A122" s="32">
        <v>34</v>
      </c>
      <c r="B122" s="32" t="s">
        <v>324</v>
      </c>
      <c r="C122" s="32" t="s">
        <v>21</v>
      </c>
      <c r="D122" s="33">
        <v>220000</v>
      </c>
      <c r="E122" s="83"/>
      <c r="F122" s="33">
        <f t="shared" si="11"/>
        <v>-220000</v>
      </c>
      <c r="G122" s="36"/>
    </row>
    <row r="123" spans="1:7" ht="22.15" customHeight="1" x14ac:dyDescent="0.6">
      <c r="A123" s="32">
        <v>35</v>
      </c>
      <c r="B123" s="32" t="s">
        <v>324</v>
      </c>
      <c r="C123" s="32" t="s">
        <v>34</v>
      </c>
      <c r="D123" s="33">
        <v>250000</v>
      </c>
      <c r="E123" s="83"/>
      <c r="F123" s="33">
        <f t="shared" si="11"/>
        <v>-250000</v>
      </c>
      <c r="G123" s="36"/>
    </row>
    <row r="124" spans="1:7" ht="22.15" customHeight="1" x14ac:dyDescent="0.6">
      <c r="A124" s="37">
        <v>36</v>
      </c>
      <c r="B124" s="37" t="s">
        <v>324</v>
      </c>
      <c r="C124" s="37" t="s">
        <v>35</v>
      </c>
      <c r="D124" s="38">
        <v>500000</v>
      </c>
      <c r="E124" s="84"/>
      <c r="F124" s="38"/>
      <c r="G124" s="45"/>
    </row>
    <row r="125" spans="1:7" ht="22.15" customHeight="1" x14ac:dyDescent="0.6">
      <c r="A125" s="28">
        <v>37</v>
      </c>
      <c r="B125" s="28" t="s">
        <v>325</v>
      </c>
      <c r="C125" s="28" t="s">
        <v>4</v>
      </c>
      <c r="D125" s="29">
        <v>270000</v>
      </c>
      <c r="E125" s="30">
        <v>350000</v>
      </c>
      <c r="F125" s="29">
        <f t="shared" si="11"/>
        <v>80000</v>
      </c>
      <c r="G125" s="31" t="s">
        <v>334</v>
      </c>
    </row>
    <row r="126" spans="1:7" ht="22.15" customHeight="1" x14ac:dyDescent="0.6">
      <c r="A126" s="32">
        <v>38</v>
      </c>
      <c r="B126" s="32" t="s">
        <v>325</v>
      </c>
      <c r="C126" s="32" t="s">
        <v>32</v>
      </c>
      <c r="D126" s="33">
        <v>270000</v>
      </c>
      <c r="E126" s="34">
        <v>320000</v>
      </c>
      <c r="F126" s="33">
        <f t="shared" si="11"/>
        <v>50000</v>
      </c>
      <c r="G126" s="36"/>
    </row>
    <row r="127" spans="1:7" ht="22.15" customHeight="1" x14ac:dyDescent="0.6">
      <c r="A127" s="32">
        <v>39</v>
      </c>
      <c r="B127" s="32" t="s">
        <v>325</v>
      </c>
      <c r="C127" s="32" t="s">
        <v>33</v>
      </c>
      <c r="D127" s="33">
        <v>240000</v>
      </c>
      <c r="E127" s="34">
        <v>300000</v>
      </c>
      <c r="F127" s="33">
        <f t="shared" si="11"/>
        <v>60000</v>
      </c>
      <c r="G127" s="36"/>
    </row>
    <row r="128" spans="1:7" ht="22.15" customHeight="1" x14ac:dyDescent="0.6">
      <c r="A128" s="32">
        <v>40</v>
      </c>
      <c r="B128" s="32" t="s">
        <v>325</v>
      </c>
      <c r="C128" s="32" t="s">
        <v>21</v>
      </c>
      <c r="D128" s="33">
        <v>240000</v>
      </c>
      <c r="E128" s="34">
        <v>270000</v>
      </c>
      <c r="F128" s="33">
        <f t="shared" si="11"/>
        <v>30000</v>
      </c>
      <c r="G128" s="36"/>
    </row>
    <row r="129" spans="1:7" ht="22.15" customHeight="1" x14ac:dyDescent="0.6">
      <c r="A129" s="32">
        <v>41</v>
      </c>
      <c r="B129" s="32" t="s">
        <v>325</v>
      </c>
      <c r="C129" s="32" t="s">
        <v>34</v>
      </c>
      <c r="D129" s="33">
        <v>270000</v>
      </c>
      <c r="E129" s="34">
        <v>350000</v>
      </c>
      <c r="F129" s="33">
        <f t="shared" si="11"/>
        <v>80000</v>
      </c>
      <c r="G129" s="36"/>
    </row>
    <row r="130" spans="1:7" ht="22.15" customHeight="1" x14ac:dyDescent="0.6">
      <c r="A130" s="37">
        <v>42</v>
      </c>
      <c r="B130" s="37" t="s">
        <v>325</v>
      </c>
      <c r="C130" s="37" t="s">
        <v>35</v>
      </c>
      <c r="D130" s="38">
        <v>500000</v>
      </c>
      <c r="E130" s="39">
        <v>0</v>
      </c>
      <c r="F130" s="38"/>
      <c r="G130" s="45"/>
    </row>
    <row r="131" spans="1:7" ht="22.15" customHeight="1" x14ac:dyDescent="0.6">
      <c r="A131" s="28">
        <v>43</v>
      </c>
      <c r="B131" s="28" t="s">
        <v>327</v>
      </c>
      <c r="C131" s="28" t="s">
        <v>4</v>
      </c>
      <c r="D131" s="29"/>
      <c r="E131" s="30">
        <v>300000</v>
      </c>
      <c r="F131" s="28"/>
      <c r="G131" s="31" t="s">
        <v>335</v>
      </c>
    </row>
    <row r="132" spans="1:7" ht="22.15" customHeight="1" x14ac:dyDescent="0.6">
      <c r="A132" s="32">
        <v>44</v>
      </c>
      <c r="B132" s="32" t="s">
        <v>327</v>
      </c>
      <c r="C132" s="32" t="s">
        <v>32</v>
      </c>
      <c r="D132" s="33"/>
      <c r="E132" s="34">
        <v>270000</v>
      </c>
      <c r="F132" s="32"/>
      <c r="G132" s="36"/>
    </row>
    <row r="133" spans="1:7" ht="22.15" customHeight="1" x14ac:dyDescent="0.6">
      <c r="A133" s="32">
        <v>45</v>
      </c>
      <c r="B133" s="32" t="s">
        <v>327</v>
      </c>
      <c r="C133" s="32" t="s">
        <v>33</v>
      </c>
      <c r="D133" s="33"/>
      <c r="E133" s="34">
        <v>250000</v>
      </c>
      <c r="F133" s="32"/>
      <c r="G133" s="36"/>
    </row>
    <row r="134" spans="1:7" ht="22.15" customHeight="1" x14ac:dyDescent="0.6">
      <c r="A134" s="32">
        <v>46</v>
      </c>
      <c r="B134" s="32" t="s">
        <v>327</v>
      </c>
      <c r="C134" s="32" t="s">
        <v>21</v>
      </c>
      <c r="D134" s="33"/>
      <c r="E134" s="34">
        <v>230000</v>
      </c>
      <c r="F134" s="32"/>
      <c r="G134" s="36"/>
    </row>
    <row r="135" spans="1:7" ht="22.15" customHeight="1" x14ac:dyDescent="0.6">
      <c r="A135" s="32">
        <v>47</v>
      </c>
      <c r="B135" s="32" t="s">
        <v>327</v>
      </c>
      <c r="C135" s="32" t="s">
        <v>34</v>
      </c>
      <c r="D135" s="33"/>
      <c r="E135" s="34">
        <v>300000</v>
      </c>
      <c r="F135" s="32"/>
      <c r="G135" s="36"/>
    </row>
    <row r="136" spans="1:7" ht="22.15" customHeight="1" x14ac:dyDescent="0.6">
      <c r="A136" s="37">
        <v>48</v>
      </c>
      <c r="B136" s="37" t="s">
        <v>327</v>
      </c>
      <c r="C136" s="37" t="s">
        <v>35</v>
      </c>
      <c r="D136" s="38"/>
      <c r="E136" s="39">
        <v>0</v>
      </c>
      <c r="F136" s="37"/>
      <c r="G136" s="45"/>
    </row>
    <row r="137" spans="1:7" ht="22.15" customHeight="1" x14ac:dyDescent="0.6"/>
    <row r="138" spans="1:7" ht="22.15" customHeight="1" x14ac:dyDescent="0.6"/>
    <row r="139" spans="1:7" ht="22.15" customHeight="1" x14ac:dyDescent="0.6"/>
    <row r="140" spans="1:7" ht="22.15" customHeight="1" x14ac:dyDescent="0.6"/>
    <row r="141" spans="1:7" ht="22.15" customHeight="1" x14ac:dyDescent="0.6"/>
    <row r="142" spans="1:7" ht="22.15" customHeight="1" x14ac:dyDescent="0.6"/>
    <row r="143" spans="1:7" ht="22.15" customHeight="1" x14ac:dyDescent="0.6"/>
    <row r="144" spans="1:7" ht="22.15" customHeight="1" x14ac:dyDescent="0.6"/>
    <row r="145" ht="22.15" customHeight="1" x14ac:dyDescent="0.6"/>
  </sheetData>
  <phoneticPr fontId="2" type="noConversion"/>
  <conditionalFormatting sqref="F4:F14 F16:F23 F25:F33 F35:F46 F48:F55 F57:F130">
    <cfRule type="cellIs" dxfId="0" priority="9" operator="greaterThan">
      <formula>0</formula>
    </cfRule>
  </conditionalFormatting>
  <pageMargins left="0.25" right="0.25" top="0.75" bottom="0.75" header="0.3" footer="0.3"/>
  <pageSetup paperSize="9" scale="69" fitToHeight="0" orientation="portrait" r:id="rId1"/>
  <rowBreaks count="3" manualBreakCount="3">
    <brk id="22" max="6" man="1"/>
    <brk id="44" max="16383" man="1"/>
    <brk id="5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E66D-54CD-443C-A086-C56EF27652BC}">
  <sheetPr>
    <pageSetUpPr fitToPage="1"/>
  </sheetPr>
  <dimension ref="A1:J18"/>
  <sheetViews>
    <sheetView view="pageBreakPreview" zoomScaleNormal="100" zoomScaleSheetLayoutView="100" workbookViewId="0">
      <selection activeCell="C8" sqref="C8"/>
    </sheetView>
  </sheetViews>
  <sheetFormatPr defaultRowHeight="16.899999999999999" x14ac:dyDescent="0.6"/>
  <cols>
    <col min="1" max="1" width="5.5625" customWidth="1"/>
    <col min="2" max="2" width="25.9375" customWidth="1"/>
    <col min="4" max="4" width="9" customWidth="1"/>
    <col min="9" max="9" width="65.25" customWidth="1"/>
  </cols>
  <sheetData>
    <row r="1" spans="1:10" ht="22.05" customHeight="1" x14ac:dyDescent="0.6">
      <c r="A1" s="27" t="s">
        <v>53</v>
      </c>
      <c r="B1" s="16"/>
      <c r="C1" s="2"/>
      <c r="D1" s="2"/>
      <c r="E1" s="2"/>
      <c r="F1" s="2"/>
      <c r="G1" s="2"/>
      <c r="H1" s="2"/>
      <c r="I1" s="2"/>
    </row>
    <row r="2" spans="1:10" ht="22.05" customHeight="1" x14ac:dyDescent="0.6">
      <c r="A2" s="26" t="s">
        <v>61</v>
      </c>
      <c r="B2" s="3"/>
      <c r="C2" s="2"/>
      <c r="D2" s="2"/>
      <c r="E2" s="2"/>
      <c r="F2" s="2"/>
      <c r="G2" s="2"/>
      <c r="H2" s="2"/>
      <c r="I2" s="2"/>
    </row>
    <row r="3" spans="1:10" ht="22.05" customHeight="1" x14ac:dyDescent="0.6">
      <c r="A3" s="5" t="s">
        <v>119</v>
      </c>
      <c r="B3" s="4" t="s">
        <v>1</v>
      </c>
      <c r="C3" s="5" t="s">
        <v>43</v>
      </c>
      <c r="D3" s="5" t="s">
        <v>44</v>
      </c>
      <c r="E3" s="5" t="s">
        <v>45</v>
      </c>
      <c r="F3" s="5" t="s">
        <v>50</v>
      </c>
      <c r="G3" s="5" t="s">
        <v>51</v>
      </c>
      <c r="H3" s="5" t="s">
        <v>58</v>
      </c>
      <c r="I3" s="6" t="s">
        <v>0</v>
      </c>
    </row>
    <row r="4" spans="1:10" ht="22.05" customHeight="1" x14ac:dyDescent="0.6">
      <c r="A4" s="8">
        <v>1</v>
      </c>
      <c r="B4" s="7" t="s">
        <v>54</v>
      </c>
      <c r="C4" s="9">
        <v>50000</v>
      </c>
      <c r="D4" s="9">
        <v>50000</v>
      </c>
      <c r="E4" s="9">
        <v>90000</v>
      </c>
      <c r="F4" s="18">
        <v>0</v>
      </c>
      <c r="G4" s="9">
        <v>40000</v>
      </c>
      <c r="H4" s="18">
        <v>0</v>
      </c>
      <c r="I4" s="19" t="s">
        <v>59</v>
      </c>
    </row>
    <row r="5" spans="1:10" ht="22.05" customHeight="1" x14ac:dyDescent="0.6">
      <c r="A5" s="8">
        <v>2</v>
      </c>
      <c r="B5" s="7" t="s">
        <v>55</v>
      </c>
      <c r="C5" s="9">
        <v>50000</v>
      </c>
      <c r="D5" s="9">
        <v>50000</v>
      </c>
      <c r="E5" s="9">
        <v>90000</v>
      </c>
      <c r="F5" s="18">
        <v>0</v>
      </c>
      <c r="G5" s="9">
        <v>40000</v>
      </c>
      <c r="H5" s="18">
        <v>0</v>
      </c>
      <c r="I5" s="11" t="s">
        <v>48</v>
      </c>
    </row>
    <row r="6" spans="1:10" ht="22.05" customHeight="1" x14ac:dyDescent="0.6">
      <c r="A6" s="8">
        <v>3</v>
      </c>
      <c r="B6" s="7" t="s">
        <v>56</v>
      </c>
      <c r="C6" s="9">
        <v>50000</v>
      </c>
      <c r="D6" s="9">
        <v>50000</v>
      </c>
      <c r="E6" s="9">
        <v>260000</v>
      </c>
      <c r="F6" s="18">
        <v>0</v>
      </c>
      <c r="G6" s="18">
        <v>0</v>
      </c>
      <c r="H6" s="18">
        <v>0</v>
      </c>
      <c r="I6" s="7" t="s">
        <v>47</v>
      </c>
    </row>
    <row r="7" spans="1:10" ht="22.05" customHeight="1" x14ac:dyDescent="0.6">
      <c r="A7" s="8">
        <v>4</v>
      </c>
      <c r="B7" s="7" t="s">
        <v>57</v>
      </c>
      <c r="C7" s="9">
        <v>50000</v>
      </c>
      <c r="D7" s="9">
        <v>50000</v>
      </c>
      <c r="E7" s="9">
        <v>260000</v>
      </c>
      <c r="F7" s="18">
        <v>0</v>
      </c>
      <c r="G7" s="18">
        <v>0</v>
      </c>
      <c r="H7" s="18">
        <v>0</v>
      </c>
      <c r="I7" s="11" t="s">
        <v>48</v>
      </c>
    </row>
    <row r="8" spans="1:10" ht="22.05" customHeight="1" x14ac:dyDescent="0.6">
      <c r="A8" s="8">
        <v>5</v>
      </c>
      <c r="B8" s="7" t="s">
        <v>49</v>
      </c>
      <c r="C8" s="9">
        <v>150000</v>
      </c>
      <c r="D8" s="9">
        <v>150000</v>
      </c>
      <c r="E8" s="17" t="s">
        <v>46</v>
      </c>
      <c r="F8" s="9">
        <v>200000</v>
      </c>
      <c r="G8" s="18">
        <v>0</v>
      </c>
      <c r="H8" s="9">
        <v>350000</v>
      </c>
      <c r="I8" s="7" t="s">
        <v>60</v>
      </c>
      <c r="J8" s="1"/>
    </row>
    <row r="9" spans="1:10" ht="22.05" customHeight="1" x14ac:dyDescent="0.6">
      <c r="A9" s="8">
        <v>6</v>
      </c>
      <c r="B9" s="7" t="s">
        <v>11</v>
      </c>
      <c r="C9" s="9">
        <v>15000</v>
      </c>
      <c r="D9" s="9">
        <v>15000</v>
      </c>
      <c r="E9" s="17" t="s">
        <v>46</v>
      </c>
      <c r="F9" s="9">
        <v>15000</v>
      </c>
      <c r="G9" s="18">
        <v>0</v>
      </c>
      <c r="H9" s="9">
        <v>30000</v>
      </c>
      <c r="I9" s="7"/>
    </row>
    <row r="10" spans="1:10" ht="22.05" customHeight="1" x14ac:dyDescent="0.6">
      <c r="A10" s="12"/>
      <c r="B10" s="12"/>
      <c r="C10" s="12"/>
      <c r="D10" s="13"/>
      <c r="E10" s="13"/>
      <c r="F10" s="13"/>
      <c r="G10" s="13"/>
      <c r="H10" s="14"/>
      <c r="I10" s="12"/>
    </row>
    <row r="11" spans="1:10" ht="22.05" customHeight="1" x14ac:dyDescent="0.6">
      <c r="A11" s="26" t="s">
        <v>62</v>
      </c>
      <c r="B11" s="3"/>
      <c r="C11" s="2"/>
      <c r="D11" s="2"/>
      <c r="E11" s="2"/>
      <c r="F11" s="2"/>
      <c r="G11" s="2"/>
      <c r="H11" s="2"/>
      <c r="I11" s="2"/>
    </row>
    <row r="12" spans="1:10" ht="22.05" customHeight="1" x14ac:dyDescent="0.6">
      <c r="A12" s="5" t="s">
        <v>119</v>
      </c>
      <c r="B12" s="4" t="s">
        <v>1</v>
      </c>
      <c r="C12" s="5" t="s">
        <v>63</v>
      </c>
      <c r="D12" s="5" t="s">
        <v>64</v>
      </c>
      <c r="E12" s="5"/>
      <c r="F12" s="5"/>
      <c r="G12" s="5"/>
      <c r="H12" s="5"/>
      <c r="I12" s="6" t="s">
        <v>0</v>
      </c>
    </row>
    <row r="13" spans="1:10" ht="22.05" customHeight="1" x14ac:dyDescent="0.6">
      <c r="A13" s="8">
        <v>1</v>
      </c>
      <c r="B13" s="7" t="s">
        <v>65</v>
      </c>
      <c r="C13" s="9">
        <f>90000+(18000*5)</f>
        <v>180000</v>
      </c>
      <c r="D13" s="9">
        <v>185000</v>
      </c>
      <c r="E13" s="9"/>
      <c r="F13" s="9"/>
      <c r="G13" s="9"/>
      <c r="H13" s="10"/>
      <c r="I13" s="7"/>
    </row>
    <row r="14" spans="1:10" ht="22.05" customHeight="1" x14ac:dyDescent="0.6">
      <c r="A14" s="8">
        <v>2</v>
      </c>
      <c r="B14" s="7" t="s">
        <v>69</v>
      </c>
      <c r="C14" s="9">
        <v>15000</v>
      </c>
      <c r="D14" s="9">
        <v>15000</v>
      </c>
      <c r="E14" s="9"/>
      <c r="F14" s="9"/>
      <c r="G14" s="9"/>
      <c r="H14" s="10"/>
      <c r="I14" s="7"/>
    </row>
    <row r="15" spans="1:10" ht="22.05" customHeight="1" x14ac:dyDescent="0.6">
      <c r="A15" s="8">
        <v>3</v>
      </c>
      <c r="B15" s="7" t="s">
        <v>66</v>
      </c>
      <c r="C15" s="9">
        <v>20000</v>
      </c>
      <c r="D15" s="18">
        <v>0</v>
      </c>
      <c r="E15" s="9"/>
      <c r="F15" s="9"/>
      <c r="G15" s="9"/>
      <c r="H15" s="10"/>
      <c r="I15" s="7"/>
    </row>
    <row r="16" spans="1:10" ht="22.05" customHeight="1" x14ac:dyDescent="0.6">
      <c r="A16" s="8">
        <v>4</v>
      </c>
      <c r="B16" s="7" t="s">
        <v>67</v>
      </c>
      <c r="C16" s="9">
        <v>30000</v>
      </c>
      <c r="D16" s="18">
        <v>0</v>
      </c>
      <c r="E16" s="9" t="s">
        <v>70</v>
      </c>
      <c r="F16" s="9"/>
      <c r="G16" s="9"/>
      <c r="H16" s="10"/>
      <c r="I16" s="7"/>
    </row>
    <row r="17" spans="1:9" ht="22.05" customHeight="1" x14ac:dyDescent="0.6">
      <c r="A17" s="8">
        <v>5</v>
      </c>
      <c r="B17" s="7" t="s">
        <v>68</v>
      </c>
      <c r="C17" s="9">
        <v>40000</v>
      </c>
      <c r="D17" s="18">
        <v>0</v>
      </c>
      <c r="E17" s="9"/>
      <c r="F17" s="9"/>
      <c r="G17" s="9"/>
      <c r="H17" s="10"/>
      <c r="I17" s="7"/>
    </row>
    <row r="18" spans="1:9" ht="22.05" customHeight="1" x14ac:dyDescent="0.6">
      <c r="A18" s="2"/>
      <c r="B18" s="2"/>
      <c r="C18" s="12"/>
      <c r="D18" s="2"/>
      <c r="E18" s="2"/>
      <c r="F18" s="2"/>
      <c r="G18" s="2"/>
      <c r="H18" s="2"/>
      <c r="I18" s="2"/>
    </row>
  </sheetData>
  <phoneticPr fontId="2" type="noConversion"/>
  <pageMargins left="0.25" right="0.25" top="0.75" bottom="0.75" header="0.3" footer="0.3"/>
  <pageSetup paperSize="9" scale="8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CC9AF-7AEA-4178-B51A-ED695000E85C}">
  <sheetPr>
    <pageSetUpPr fitToPage="1"/>
  </sheetPr>
  <dimension ref="A1:S92"/>
  <sheetViews>
    <sheetView topLeftCell="A25" zoomScaleNormal="100" zoomScaleSheetLayoutView="100" workbookViewId="0">
      <selection activeCell="H36" sqref="H36"/>
    </sheetView>
  </sheetViews>
  <sheetFormatPr defaultRowHeight="16.899999999999999" x14ac:dyDescent="0.6"/>
  <cols>
    <col min="1" max="1" width="5.5625" style="25" customWidth="1"/>
    <col min="2" max="2" width="18.0625" bestFit="1" customWidth="1"/>
    <col min="4" max="6" width="14.5625" customWidth="1"/>
    <col min="7" max="7" width="6.1875" customWidth="1"/>
    <col min="8" max="10" width="14.5625" customWidth="1"/>
    <col min="11" max="19" width="10.5625" customWidth="1"/>
  </cols>
  <sheetData>
    <row r="1" spans="1:19" ht="22.05" customHeight="1" x14ac:dyDescent="0.6">
      <c r="A1" s="26" t="s">
        <v>337</v>
      </c>
      <c r="B1" s="3"/>
      <c r="C1" s="2"/>
      <c r="D1" s="85" t="s">
        <v>338</v>
      </c>
      <c r="E1" s="2"/>
      <c r="F1" s="2"/>
      <c r="G1" s="2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19" ht="22.05" customHeight="1" x14ac:dyDescent="0.6">
      <c r="A2" s="5" t="s">
        <v>119</v>
      </c>
      <c r="B2" s="5" t="s">
        <v>1</v>
      </c>
      <c r="C2" s="5" t="s">
        <v>2</v>
      </c>
      <c r="D2" s="5" t="s">
        <v>83</v>
      </c>
      <c r="E2" s="5" t="s">
        <v>339</v>
      </c>
      <c r="F2" s="5" t="s">
        <v>340</v>
      </c>
      <c r="G2" s="5" t="s">
        <v>0</v>
      </c>
      <c r="H2" s="148" t="s">
        <v>443</v>
      </c>
      <c r="I2" s="153"/>
      <c r="J2" s="154"/>
      <c r="K2" s="155"/>
      <c r="L2" s="154"/>
      <c r="M2" s="154"/>
      <c r="N2" s="154"/>
      <c r="O2" s="154"/>
      <c r="P2" s="154"/>
      <c r="Q2" s="154"/>
      <c r="R2" s="154"/>
      <c r="S2" s="154"/>
    </row>
    <row r="3" spans="1:19" ht="22.05" customHeight="1" x14ac:dyDescent="0.6">
      <c r="A3" s="28">
        <v>1</v>
      </c>
      <c r="B3" s="160" t="s">
        <v>31</v>
      </c>
      <c r="C3" s="28" t="s">
        <v>4</v>
      </c>
      <c r="D3" s="30">
        <v>140000</v>
      </c>
      <c r="E3" s="30">
        <v>150000</v>
      </c>
      <c r="F3" s="30">
        <v>150000</v>
      </c>
      <c r="G3" s="31"/>
      <c r="H3" s="30">
        <v>200000</v>
      </c>
      <c r="I3" s="156"/>
      <c r="J3" s="81"/>
      <c r="K3" s="81"/>
      <c r="L3" s="81"/>
      <c r="M3" s="81"/>
      <c r="N3" s="81"/>
      <c r="O3" s="81"/>
      <c r="P3" s="81"/>
      <c r="Q3" s="81"/>
      <c r="R3" s="81"/>
      <c r="S3" s="81"/>
    </row>
    <row r="4" spans="1:19" ht="22.05" customHeight="1" x14ac:dyDescent="0.6">
      <c r="A4" s="32">
        <v>2</v>
      </c>
      <c r="B4" s="161"/>
      <c r="C4" s="32" t="s">
        <v>32</v>
      </c>
      <c r="D4" s="34">
        <v>120000</v>
      </c>
      <c r="E4" s="34">
        <v>150000</v>
      </c>
      <c r="F4" s="34">
        <v>150000</v>
      </c>
      <c r="G4" s="35"/>
      <c r="H4" s="34">
        <v>200000</v>
      </c>
      <c r="I4" s="156"/>
      <c r="J4" s="81"/>
      <c r="K4" s="81"/>
      <c r="L4" s="81"/>
      <c r="M4" s="81"/>
      <c r="N4" s="81"/>
      <c r="O4" s="81"/>
      <c r="P4" s="81"/>
      <c r="Q4" s="81"/>
      <c r="R4" s="81"/>
      <c r="S4" s="81"/>
    </row>
    <row r="5" spans="1:19" ht="22.05" customHeight="1" x14ac:dyDescent="0.6">
      <c r="A5" s="32">
        <v>3</v>
      </c>
      <c r="B5" s="161"/>
      <c r="C5" s="32" t="s">
        <v>33</v>
      </c>
      <c r="D5" s="34">
        <v>110000</v>
      </c>
      <c r="E5" s="34">
        <v>100000</v>
      </c>
      <c r="F5" s="34">
        <v>80000</v>
      </c>
      <c r="G5" s="35"/>
      <c r="H5" s="83">
        <v>190000</v>
      </c>
      <c r="I5" s="156"/>
      <c r="J5" s="81"/>
      <c r="K5" s="81"/>
      <c r="L5" s="81"/>
      <c r="M5" s="81"/>
      <c r="N5" s="81"/>
      <c r="O5" s="81"/>
      <c r="P5" s="81"/>
      <c r="Q5" s="81"/>
      <c r="R5" s="81"/>
      <c r="S5" s="81"/>
    </row>
    <row r="6" spans="1:19" ht="22.05" customHeight="1" x14ac:dyDescent="0.6">
      <c r="A6" s="32">
        <v>4</v>
      </c>
      <c r="B6" s="161"/>
      <c r="C6" s="32" t="s">
        <v>21</v>
      </c>
      <c r="D6" s="34">
        <v>100000</v>
      </c>
      <c r="E6" s="34">
        <v>100000</v>
      </c>
      <c r="F6" s="34">
        <v>80000</v>
      </c>
      <c r="G6" s="35"/>
      <c r="H6" s="34">
        <v>180000</v>
      </c>
      <c r="I6" s="156"/>
      <c r="J6" s="81"/>
      <c r="K6" s="81"/>
      <c r="L6" s="81"/>
      <c r="M6" s="81"/>
      <c r="N6" s="81"/>
      <c r="O6" s="81"/>
      <c r="P6" s="81"/>
      <c r="Q6" s="81"/>
      <c r="R6" s="81"/>
      <c r="S6" s="81"/>
    </row>
    <row r="7" spans="1:19" ht="22.05" customHeight="1" x14ac:dyDescent="0.6">
      <c r="A7" s="32">
        <v>5</v>
      </c>
      <c r="B7" s="161"/>
      <c r="C7" s="32" t="s">
        <v>34</v>
      </c>
      <c r="D7" s="34">
        <v>150000</v>
      </c>
      <c r="E7" s="34">
        <v>150000</v>
      </c>
      <c r="F7" s="34">
        <v>150000</v>
      </c>
      <c r="G7" s="36"/>
      <c r="H7" s="34">
        <v>350000</v>
      </c>
      <c r="I7" s="156"/>
      <c r="J7" s="81"/>
      <c r="K7" s="81"/>
      <c r="L7" s="81"/>
      <c r="M7" s="81"/>
      <c r="N7" s="81"/>
      <c r="O7" s="81"/>
      <c r="P7" s="81"/>
      <c r="Q7" s="81"/>
      <c r="R7" s="81"/>
      <c r="S7" s="81"/>
    </row>
    <row r="8" spans="1:19" ht="22.05" customHeight="1" x14ac:dyDescent="0.6">
      <c r="A8" s="37">
        <v>6</v>
      </c>
      <c r="B8" s="162"/>
      <c r="C8" s="37" t="s">
        <v>35</v>
      </c>
      <c r="D8" s="39">
        <v>300000</v>
      </c>
      <c r="E8" s="86" t="s">
        <v>341</v>
      </c>
      <c r="F8" s="39">
        <v>200000</v>
      </c>
      <c r="G8" s="40"/>
      <c r="H8" s="39">
        <v>500000</v>
      </c>
      <c r="I8" s="156"/>
      <c r="J8" s="81"/>
      <c r="K8" s="81"/>
      <c r="L8" s="81"/>
      <c r="M8" s="81"/>
      <c r="N8" s="81"/>
      <c r="O8" s="81"/>
      <c r="P8" s="81"/>
      <c r="Q8" s="81"/>
      <c r="R8" s="81"/>
      <c r="S8" s="81"/>
    </row>
    <row r="9" spans="1:19" ht="22.05" customHeight="1" x14ac:dyDescent="0.6">
      <c r="A9" s="28">
        <v>7</v>
      </c>
      <c r="B9" s="160" t="s">
        <v>36</v>
      </c>
      <c r="C9" s="28" t="s">
        <v>4</v>
      </c>
      <c r="D9" s="30">
        <v>450000</v>
      </c>
      <c r="E9" s="30">
        <v>485000</v>
      </c>
      <c r="F9" s="87" t="s">
        <v>342</v>
      </c>
      <c r="G9" s="31"/>
      <c r="H9" s="30">
        <v>550000</v>
      </c>
      <c r="I9" s="156"/>
      <c r="J9" s="81"/>
      <c r="K9" s="81"/>
      <c r="L9" s="81"/>
      <c r="M9" s="81"/>
      <c r="N9" s="81"/>
      <c r="O9" s="81"/>
      <c r="P9" s="81"/>
      <c r="Q9" s="81"/>
      <c r="R9" s="81"/>
      <c r="S9" s="81"/>
    </row>
    <row r="10" spans="1:19" ht="22.05" customHeight="1" x14ac:dyDescent="0.6">
      <c r="A10" s="32">
        <v>8</v>
      </c>
      <c r="B10" s="161"/>
      <c r="C10" s="32" t="s">
        <v>32</v>
      </c>
      <c r="D10" s="34">
        <v>380000</v>
      </c>
      <c r="E10" s="34">
        <v>440000</v>
      </c>
      <c r="F10" s="88" t="s">
        <v>343</v>
      </c>
      <c r="G10" s="35"/>
      <c r="H10" s="34">
        <v>550000</v>
      </c>
      <c r="I10" s="156"/>
      <c r="J10" s="81"/>
      <c r="K10" s="81"/>
      <c r="L10" s="81"/>
      <c r="M10" s="81"/>
      <c r="N10" s="81"/>
      <c r="O10" s="81"/>
      <c r="P10" s="81"/>
      <c r="Q10" s="81"/>
      <c r="R10" s="81"/>
      <c r="S10" s="81"/>
    </row>
    <row r="11" spans="1:19" ht="22.05" customHeight="1" x14ac:dyDescent="0.6">
      <c r="A11" s="32">
        <v>9</v>
      </c>
      <c r="B11" s="161"/>
      <c r="C11" s="32" t="s">
        <v>33</v>
      </c>
      <c r="D11" s="34">
        <v>320000</v>
      </c>
      <c r="E11" s="34">
        <v>330000</v>
      </c>
      <c r="F11" s="88" t="s">
        <v>344</v>
      </c>
      <c r="G11" s="35"/>
      <c r="H11" s="83">
        <v>500000</v>
      </c>
      <c r="I11" s="156"/>
      <c r="J11" s="81"/>
      <c r="K11" s="81"/>
      <c r="L11" s="81"/>
      <c r="M11" s="81"/>
      <c r="N11" s="81"/>
      <c r="O11" s="81"/>
      <c r="P11" s="81"/>
      <c r="Q11" s="81"/>
      <c r="R11" s="81"/>
      <c r="S11" s="81"/>
    </row>
    <row r="12" spans="1:19" ht="22.05" customHeight="1" x14ac:dyDescent="0.6">
      <c r="A12" s="32">
        <v>10</v>
      </c>
      <c r="B12" s="161"/>
      <c r="C12" s="32" t="s">
        <v>21</v>
      </c>
      <c r="D12" s="34">
        <v>280000</v>
      </c>
      <c r="E12" s="34">
        <v>330000</v>
      </c>
      <c r="F12" s="88" t="s">
        <v>344</v>
      </c>
      <c r="G12" s="35"/>
      <c r="H12" s="34">
        <v>450000</v>
      </c>
      <c r="I12" s="156"/>
      <c r="J12" s="81"/>
      <c r="K12" s="81"/>
      <c r="L12" s="81"/>
      <c r="M12" s="81"/>
      <c r="N12" s="81"/>
      <c r="O12" s="81"/>
      <c r="P12" s="81"/>
      <c r="Q12" s="81"/>
      <c r="R12" s="81"/>
      <c r="S12" s="81"/>
    </row>
    <row r="13" spans="1:19" ht="22.05" customHeight="1" x14ac:dyDescent="0.6">
      <c r="A13" s="32">
        <v>11</v>
      </c>
      <c r="B13" s="161"/>
      <c r="C13" s="32" t="s">
        <v>34</v>
      </c>
      <c r="D13" s="34">
        <v>400000</v>
      </c>
      <c r="E13" s="34">
        <v>440000</v>
      </c>
      <c r="F13" s="88" t="s">
        <v>343</v>
      </c>
      <c r="G13" s="36"/>
      <c r="H13" s="34">
        <v>650000</v>
      </c>
      <c r="I13" s="156"/>
      <c r="J13" s="81"/>
      <c r="K13" s="81"/>
      <c r="L13" s="81"/>
      <c r="M13" s="81"/>
      <c r="N13" s="81"/>
      <c r="O13" s="81"/>
      <c r="P13" s="81"/>
      <c r="Q13" s="81"/>
      <c r="R13" s="81"/>
      <c r="S13" s="81"/>
    </row>
    <row r="14" spans="1:19" ht="22.05" customHeight="1" x14ac:dyDescent="0.6">
      <c r="A14" s="37">
        <v>12</v>
      </c>
      <c r="B14" s="162"/>
      <c r="C14" s="37" t="s">
        <v>35</v>
      </c>
      <c r="D14" s="39">
        <v>750000</v>
      </c>
      <c r="E14" s="89" t="s">
        <v>345</v>
      </c>
      <c r="F14" s="89" t="s">
        <v>346</v>
      </c>
      <c r="G14" s="40"/>
      <c r="H14" s="39">
        <v>900000</v>
      </c>
      <c r="I14" s="156"/>
      <c r="J14" s="81"/>
      <c r="K14" s="81"/>
      <c r="L14" s="81"/>
      <c r="M14" s="81"/>
      <c r="N14" s="81"/>
      <c r="O14" s="81"/>
      <c r="P14" s="81"/>
      <c r="Q14" s="81"/>
      <c r="R14" s="81"/>
      <c r="S14" s="81"/>
    </row>
    <row r="15" spans="1:19" ht="22.05" customHeight="1" x14ac:dyDescent="0.6">
      <c r="A15" s="28">
        <v>13</v>
      </c>
      <c r="B15" s="160" t="s">
        <v>37</v>
      </c>
      <c r="C15" s="28" t="s">
        <v>4</v>
      </c>
      <c r="D15" s="30">
        <v>320000</v>
      </c>
      <c r="E15" s="90" t="s">
        <v>347</v>
      </c>
      <c r="F15" s="30">
        <v>330000</v>
      </c>
      <c r="G15" s="41"/>
      <c r="H15" s="30"/>
      <c r="I15" s="156"/>
      <c r="J15" s="81"/>
      <c r="K15" s="81"/>
      <c r="L15" s="81"/>
      <c r="M15" s="81"/>
      <c r="N15" s="81"/>
      <c r="O15" s="81"/>
      <c r="P15" s="81"/>
      <c r="Q15" s="81"/>
      <c r="R15" s="81"/>
      <c r="S15" s="81"/>
    </row>
    <row r="16" spans="1:19" ht="22.05" customHeight="1" x14ac:dyDescent="0.6">
      <c r="A16" s="32">
        <v>14</v>
      </c>
      <c r="B16" s="161"/>
      <c r="C16" s="32" t="s">
        <v>32</v>
      </c>
      <c r="D16" s="34">
        <v>270000</v>
      </c>
      <c r="E16" s="91" t="s">
        <v>347</v>
      </c>
      <c r="F16" s="34">
        <v>300000</v>
      </c>
      <c r="G16" s="35"/>
      <c r="H16" s="34"/>
      <c r="I16" s="156"/>
      <c r="J16" s="81"/>
      <c r="K16" s="81"/>
      <c r="L16" s="81"/>
      <c r="M16" s="81"/>
      <c r="N16" s="81"/>
      <c r="O16" s="81"/>
      <c r="P16" s="81"/>
      <c r="Q16" s="81"/>
      <c r="R16" s="81"/>
      <c r="S16" s="81"/>
    </row>
    <row r="17" spans="1:19" ht="22.05" customHeight="1" x14ac:dyDescent="0.6">
      <c r="A17" s="32">
        <v>15</v>
      </c>
      <c r="B17" s="161"/>
      <c r="C17" s="32" t="s">
        <v>33</v>
      </c>
      <c r="D17" s="34">
        <v>220000</v>
      </c>
      <c r="E17" s="91" t="s">
        <v>347</v>
      </c>
      <c r="F17" s="34">
        <v>220000</v>
      </c>
      <c r="G17" s="35"/>
      <c r="H17" s="34"/>
      <c r="I17" s="156"/>
      <c r="J17" s="81"/>
      <c r="K17" s="81"/>
      <c r="L17" s="81"/>
      <c r="M17" s="81"/>
      <c r="N17" s="81"/>
      <c r="O17" s="81"/>
      <c r="P17" s="81"/>
      <c r="Q17" s="81"/>
      <c r="R17" s="81"/>
      <c r="S17" s="81"/>
    </row>
    <row r="18" spans="1:19" ht="22.05" customHeight="1" x14ac:dyDescent="0.6">
      <c r="A18" s="32">
        <v>16</v>
      </c>
      <c r="B18" s="161"/>
      <c r="C18" s="32" t="s">
        <v>21</v>
      </c>
      <c r="D18" s="34">
        <v>200000</v>
      </c>
      <c r="E18" s="91" t="s">
        <v>347</v>
      </c>
      <c r="F18" s="34">
        <v>220000</v>
      </c>
      <c r="G18" s="35"/>
      <c r="H18" s="34"/>
      <c r="I18" s="156"/>
      <c r="J18" s="81"/>
      <c r="K18" s="81"/>
      <c r="L18" s="81"/>
      <c r="M18" s="81"/>
      <c r="N18" s="81"/>
      <c r="O18" s="81"/>
      <c r="P18" s="81"/>
      <c r="Q18" s="81"/>
      <c r="R18" s="81"/>
      <c r="S18" s="81"/>
    </row>
    <row r="19" spans="1:19" ht="22.05" customHeight="1" x14ac:dyDescent="0.6">
      <c r="A19" s="32">
        <v>17</v>
      </c>
      <c r="B19" s="161"/>
      <c r="C19" s="32" t="s">
        <v>34</v>
      </c>
      <c r="D19" s="34">
        <v>290000</v>
      </c>
      <c r="E19" s="91" t="s">
        <v>347</v>
      </c>
      <c r="F19" s="34">
        <v>300000</v>
      </c>
      <c r="G19" s="36"/>
      <c r="H19" s="34"/>
      <c r="I19" s="156"/>
      <c r="J19" s="81"/>
      <c r="K19" s="81"/>
      <c r="L19" s="81"/>
      <c r="M19" s="81"/>
      <c r="N19" s="81"/>
      <c r="O19" s="81"/>
      <c r="P19" s="81"/>
      <c r="Q19" s="81"/>
      <c r="R19" s="81"/>
      <c r="S19" s="81"/>
    </row>
    <row r="20" spans="1:19" ht="22.05" customHeight="1" x14ac:dyDescent="0.6">
      <c r="A20" s="37">
        <v>18</v>
      </c>
      <c r="B20" s="162"/>
      <c r="C20" s="37" t="s">
        <v>35</v>
      </c>
      <c r="D20" s="39">
        <v>500000</v>
      </c>
      <c r="E20" s="91" t="s">
        <v>347</v>
      </c>
      <c r="F20" s="39">
        <v>420000</v>
      </c>
      <c r="G20" s="40"/>
      <c r="H20" s="147"/>
      <c r="I20" s="156"/>
      <c r="J20" s="81"/>
      <c r="K20" s="81"/>
      <c r="L20" s="81"/>
      <c r="M20" s="81"/>
      <c r="N20" s="81"/>
      <c r="O20" s="81"/>
      <c r="P20" s="81"/>
      <c r="Q20" s="81"/>
      <c r="R20" s="81"/>
      <c r="S20" s="81"/>
    </row>
    <row r="21" spans="1:19" ht="22.05" customHeight="1" x14ac:dyDescent="0.6">
      <c r="A21" s="28">
        <v>19</v>
      </c>
      <c r="B21" s="163" t="s">
        <v>38</v>
      </c>
      <c r="C21" s="28" t="s">
        <v>4</v>
      </c>
      <c r="D21" s="30">
        <v>20000</v>
      </c>
      <c r="E21" s="90" t="s">
        <v>348</v>
      </c>
      <c r="F21" s="90" t="s">
        <v>348</v>
      </c>
      <c r="G21" s="31"/>
      <c r="H21" s="30">
        <v>40000</v>
      </c>
      <c r="I21" s="156"/>
      <c r="J21" s="81"/>
      <c r="K21" s="81"/>
      <c r="L21" s="81"/>
      <c r="M21" s="81"/>
      <c r="N21" s="81"/>
      <c r="O21" s="81"/>
      <c r="P21" s="81"/>
      <c r="Q21" s="81"/>
      <c r="R21" s="81"/>
      <c r="S21" s="81"/>
    </row>
    <row r="22" spans="1:19" ht="22.05" customHeight="1" x14ac:dyDescent="0.6">
      <c r="A22" s="32">
        <v>20</v>
      </c>
      <c r="B22" s="164"/>
      <c r="C22" s="32" t="s">
        <v>32</v>
      </c>
      <c r="D22" s="34">
        <v>20000</v>
      </c>
      <c r="E22" s="91" t="s">
        <v>348</v>
      </c>
      <c r="F22" s="91" t="s">
        <v>348</v>
      </c>
      <c r="G22" s="36"/>
      <c r="H22" s="34">
        <v>40000</v>
      </c>
      <c r="I22" s="156"/>
      <c r="J22" s="81"/>
      <c r="K22" s="81"/>
      <c r="L22" s="81"/>
      <c r="M22" s="81"/>
      <c r="N22" s="81"/>
      <c r="O22" s="81"/>
      <c r="P22" s="81"/>
      <c r="Q22" s="81"/>
      <c r="R22" s="81"/>
      <c r="S22" s="81"/>
    </row>
    <row r="23" spans="1:19" ht="22.05" customHeight="1" x14ac:dyDescent="0.6">
      <c r="A23" s="32">
        <v>21</v>
      </c>
      <c r="B23" s="164"/>
      <c r="C23" s="32" t="s">
        <v>33</v>
      </c>
      <c r="D23" s="34">
        <v>20000</v>
      </c>
      <c r="E23" s="91" t="s">
        <v>348</v>
      </c>
      <c r="F23" s="91" t="s">
        <v>348</v>
      </c>
      <c r="G23" s="36"/>
      <c r="H23" s="34">
        <v>40000</v>
      </c>
      <c r="I23" s="156"/>
      <c r="J23" s="81"/>
      <c r="K23" s="81"/>
      <c r="L23" s="81"/>
      <c r="M23" s="81"/>
      <c r="N23" s="81"/>
      <c r="O23" s="81"/>
      <c r="P23" s="81"/>
      <c r="Q23" s="81"/>
      <c r="R23" s="81"/>
      <c r="S23" s="81"/>
    </row>
    <row r="24" spans="1:19" ht="22.05" customHeight="1" x14ac:dyDescent="0.6">
      <c r="A24" s="32">
        <v>22</v>
      </c>
      <c r="B24" s="164"/>
      <c r="C24" s="32" t="s">
        <v>21</v>
      </c>
      <c r="D24" s="34">
        <v>20000</v>
      </c>
      <c r="E24" s="91" t="s">
        <v>348</v>
      </c>
      <c r="F24" s="91" t="s">
        <v>348</v>
      </c>
      <c r="G24" s="36"/>
      <c r="H24" s="34">
        <v>40000</v>
      </c>
      <c r="I24" s="156"/>
      <c r="J24" s="81"/>
      <c r="K24" s="81"/>
      <c r="L24" s="81"/>
      <c r="M24" s="81"/>
      <c r="N24" s="81"/>
      <c r="O24" s="81"/>
      <c r="P24" s="81"/>
      <c r="Q24" s="81"/>
      <c r="R24" s="81"/>
      <c r="S24" s="81"/>
    </row>
    <row r="25" spans="1:19" ht="22.05" customHeight="1" x14ac:dyDescent="0.6">
      <c r="A25" s="32">
        <v>23</v>
      </c>
      <c r="B25" s="164"/>
      <c r="C25" s="32" t="s">
        <v>34</v>
      </c>
      <c r="D25" s="34">
        <v>20000</v>
      </c>
      <c r="E25" s="91" t="s">
        <v>348</v>
      </c>
      <c r="F25" s="91" t="s">
        <v>348</v>
      </c>
      <c r="G25" s="36"/>
      <c r="H25" s="34">
        <v>50000</v>
      </c>
      <c r="I25" s="156"/>
      <c r="J25" s="81"/>
      <c r="K25" s="81"/>
      <c r="L25" s="81"/>
      <c r="M25" s="81"/>
      <c r="N25" s="81"/>
      <c r="O25" s="81"/>
      <c r="P25" s="81"/>
      <c r="Q25" s="81"/>
      <c r="R25" s="81"/>
      <c r="S25" s="81"/>
    </row>
    <row r="26" spans="1:19" ht="22.05" customHeight="1" x14ac:dyDescent="0.6">
      <c r="A26" s="37">
        <v>24</v>
      </c>
      <c r="B26" s="165"/>
      <c r="C26" s="37" t="s">
        <v>35</v>
      </c>
      <c r="D26" s="39">
        <v>20000</v>
      </c>
      <c r="E26" s="91" t="s">
        <v>348</v>
      </c>
      <c r="F26" s="91" t="s">
        <v>348</v>
      </c>
      <c r="G26" s="45"/>
      <c r="H26" s="147">
        <v>50000</v>
      </c>
      <c r="I26" s="156"/>
      <c r="J26" s="81"/>
      <c r="K26" s="81"/>
      <c r="L26" s="81"/>
      <c r="M26" s="81"/>
      <c r="N26" s="81"/>
      <c r="O26" s="81"/>
      <c r="P26" s="81"/>
      <c r="Q26" s="81"/>
      <c r="R26" s="81"/>
      <c r="S26" s="81"/>
    </row>
    <row r="27" spans="1:19" ht="22.05" customHeight="1" x14ac:dyDescent="0.6">
      <c r="A27" s="28">
        <v>25</v>
      </c>
      <c r="B27" s="160" t="s">
        <v>11</v>
      </c>
      <c r="C27" s="28" t="s">
        <v>4</v>
      </c>
      <c r="D27" s="30">
        <v>40000</v>
      </c>
      <c r="E27" s="90" t="s">
        <v>347</v>
      </c>
      <c r="F27" s="90" t="s">
        <v>347</v>
      </c>
      <c r="G27" s="31"/>
      <c r="H27" s="30">
        <v>55000</v>
      </c>
      <c r="I27" s="156"/>
      <c r="J27" s="81"/>
      <c r="K27" s="81"/>
      <c r="L27" s="81"/>
      <c r="M27" s="81"/>
      <c r="N27" s="81"/>
      <c r="O27" s="81"/>
      <c r="P27" s="81"/>
      <c r="Q27" s="81"/>
      <c r="R27" s="81"/>
      <c r="S27" s="81"/>
    </row>
    <row r="28" spans="1:19" ht="22.05" customHeight="1" x14ac:dyDescent="0.6">
      <c r="A28" s="32">
        <v>26</v>
      </c>
      <c r="B28" s="161"/>
      <c r="C28" s="32" t="s">
        <v>32</v>
      </c>
      <c r="D28" s="34">
        <v>35000</v>
      </c>
      <c r="E28" s="91" t="s">
        <v>347</v>
      </c>
      <c r="F28" s="91" t="s">
        <v>347</v>
      </c>
      <c r="G28" s="36"/>
      <c r="H28" s="34">
        <v>55000</v>
      </c>
      <c r="I28" s="156"/>
      <c r="J28" s="81"/>
      <c r="K28" s="81"/>
      <c r="L28" s="81"/>
      <c r="M28" s="81"/>
      <c r="N28" s="81"/>
      <c r="O28" s="81"/>
      <c r="P28" s="81"/>
      <c r="Q28" s="81"/>
      <c r="R28" s="81"/>
      <c r="S28" s="81"/>
    </row>
    <row r="29" spans="1:19" ht="22.05" customHeight="1" x14ac:dyDescent="0.6">
      <c r="A29" s="32">
        <v>27</v>
      </c>
      <c r="B29" s="161"/>
      <c r="C29" s="32" t="s">
        <v>33</v>
      </c>
      <c r="D29" s="34">
        <v>30000</v>
      </c>
      <c r="E29" s="91" t="s">
        <v>347</v>
      </c>
      <c r="F29" s="91" t="s">
        <v>347</v>
      </c>
      <c r="G29" s="36"/>
      <c r="H29" s="83">
        <v>50000</v>
      </c>
      <c r="I29" s="156"/>
      <c r="J29" s="81"/>
      <c r="K29" s="81"/>
      <c r="L29" s="81"/>
      <c r="M29" s="81"/>
      <c r="N29" s="81"/>
      <c r="O29" s="81"/>
      <c r="P29" s="81"/>
      <c r="Q29" s="81"/>
      <c r="R29" s="81"/>
      <c r="S29" s="81"/>
    </row>
    <row r="30" spans="1:19" ht="22.05" customHeight="1" x14ac:dyDescent="0.6">
      <c r="A30" s="32">
        <v>28</v>
      </c>
      <c r="B30" s="161"/>
      <c r="C30" s="32" t="s">
        <v>21</v>
      </c>
      <c r="D30" s="34">
        <v>25000</v>
      </c>
      <c r="E30" s="91" t="s">
        <v>347</v>
      </c>
      <c r="F30" s="91" t="s">
        <v>347</v>
      </c>
      <c r="G30" s="36"/>
      <c r="H30" s="34">
        <v>45000</v>
      </c>
      <c r="I30" s="156"/>
      <c r="J30" s="81"/>
      <c r="K30" s="81"/>
      <c r="L30" s="81"/>
      <c r="M30" s="81"/>
      <c r="N30" s="81"/>
      <c r="O30" s="81"/>
      <c r="P30" s="81"/>
      <c r="Q30" s="81"/>
      <c r="R30" s="81"/>
      <c r="S30" s="81"/>
    </row>
    <row r="31" spans="1:19" ht="22.05" customHeight="1" x14ac:dyDescent="0.6">
      <c r="A31" s="32">
        <v>29</v>
      </c>
      <c r="B31" s="161"/>
      <c r="C31" s="32" t="s">
        <v>34</v>
      </c>
      <c r="D31" s="34">
        <v>35000</v>
      </c>
      <c r="E31" s="91" t="s">
        <v>347</v>
      </c>
      <c r="F31" s="91" t="s">
        <v>347</v>
      </c>
      <c r="G31" s="36"/>
      <c r="H31" s="34">
        <v>65000</v>
      </c>
      <c r="I31" s="156"/>
      <c r="J31" s="81"/>
      <c r="K31" s="81"/>
      <c r="L31" s="81"/>
      <c r="M31" s="81"/>
      <c r="N31" s="81"/>
      <c r="O31" s="81"/>
      <c r="P31" s="81"/>
      <c r="Q31" s="81"/>
      <c r="R31" s="81"/>
      <c r="S31" s="81"/>
    </row>
    <row r="32" spans="1:19" ht="22.05" customHeight="1" x14ac:dyDescent="0.6">
      <c r="A32" s="37">
        <v>30</v>
      </c>
      <c r="B32" s="162"/>
      <c r="C32" s="37" t="s">
        <v>35</v>
      </c>
      <c r="D32" s="39">
        <v>50000</v>
      </c>
      <c r="E32" s="92" t="s">
        <v>347</v>
      </c>
      <c r="F32" s="92" t="s">
        <v>347</v>
      </c>
      <c r="G32" s="45"/>
      <c r="H32" s="39">
        <v>100000</v>
      </c>
      <c r="I32" s="156"/>
      <c r="J32" s="81"/>
      <c r="K32" s="81"/>
      <c r="L32" s="81"/>
      <c r="M32" s="81"/>
      <c r="N32" s="81"/>
      <c r="O32" s="81"/>
      <c r="P32" s="81"/>
      <c r="Q32" s="81"/>
      <c r="R32" s="81"/>
      <c r="S32" s="81"/>
    </row>
    <row r="33" spans="1:19" ht="22.05" customHeight="1" x14ac:dyDescent="0.6">
      <c r="A33" s="23"/>
      <c r="B33" s="23"/>
      <c r="C33" s="23"/>
      <c r="D33" s="81"/>
      <c r="E33" s="81"/>
      <c r="F33" s="81"/>
      <c r="G33" s="2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</row>
    <row r="34" spans="1:19" ht="22.05" customHeight="1" x14ac:dyDescent="0.6">
      <c r="A34" s="26" t="s">
        <v>349</v>
      </c>
      <c r="B34" s="3"/>
      <c r="C34" s="2"/>
      <c r="D34" s="82"/>
      <c r="E34" s="82"/>
      <c r="F34" s="82"/>
      <c r="G34" s="2"/>
      <c r="H34" s="82"/>
      <c r="I34" s="149">
        <v>0.3</v>
      </c>
      <c r="J34" s="82"/>
      <c r="K34" s="82"/>
      <c r="L34" s="82"/>
      <c r="M34" s="82" t="s">
        <v>445</v>
      </c>
      <c r="N34" s="82" t="s">
        <v>446</v>
      </c>
      <c r="O34" s="82"/>
      <c r="P34" s="82"/>
      <c r="Q34" s="82"/>
      <c r="R34" s="82"/>
      <c r="S34" s="82"/>
    </row>
    <row r="35" spans="1:19" ht="22.05" customHeight="1" x14ac:dyDescent="0.6">
      <c r="A35" s="5" t="s">
        <v>119</v>
      </c>
      <c r="B35" s="5" t="s">
        <v>1</v>
      </c>
      <c r="C35" s="5" t="s">
        <v>2</v>
      </c>
      <c r="D35" s="5" t="s">
        <v>83</v>
      </c>
      <c r="E35" s="5" t="s">
        <v>339</v>
      </c>
      <c r="F35" s="5" t="s">
        <v>340</v>
      </c>
      <c r="G35" s="5" t="s">
        <v>0</v>
      </c>
      <c r="H35" s="148" t="s">
        <v>443</v>
      </c>
      <c r="I35" s="150" t="s">
        <v>450</v>
      </c>
      <c r="J35" s="151" t="s">
        <v>449</v>
      </c>
      <c r="K35" s="152" t="s">
        <v>439</v>
      </c>
      <c r="L35" s="151" t="s">
        <v>444</v>
      </c>
      <c r="M35" s="151" t="s">
        <v>442</v>
      </c>
      <c r="N35" s="151" t="s">
        <v>447</v>
      </c>
      <c r="O35" s="151"/>
      <c r="P35" s="151" t="s">
        <v>448</v>
      </c>
      <c r="Q35" s="151"/>
      <c r="R35" s="151" t="s">
        <v>440</v>
      </c>
      <c r="S35" s="151" t="s">
        <v>441</v>
      </c>
    </row>
    <row r="36" spans="1:19" ht="22.15" customHeight="1" x14ac:dyDescent="0.6">
      <c r="A36" s="28">
        <v>1</v>
      </c>
      <c r="B36" s="160" t="s">
        <v>319</v>
      </c>
      <c r="C36" s="28" t="s">
        <v>4</v>
      </c>
      <c r="D36" s="30">
        <v>270000</v>
      </c>
      <c r="E36" s="30">
        <v>200000</v>
      </c>
      <c r="F36" s="30">
        <v>480000</v>
      </c>
      <c r="G36" s="31"/>
      <c r="H36" s="157">
        <v>350000</v>
      </c>
      <c r="I36" s="30">
        <f>D36*1.3</f>
        <v>351000</v>
      </c>
      <c r="J36" s="30">
        <f>M36+O36+Q36+R36</f>
        <v>351500</v>
      </c>
      <c r="K36" s="30">
        <v>192</v>
      </c>
      <c r="L36" s="30">
        <v>4</v>
      </c>
      <c r="M36" s="30">
        <v>200000</v>
      </c>
      <c r="N36" s="30">
        <v>65000</v>
      </c>
      <c r="O36" s="30">
        <f>(L36-3)*N36</f>
        <v>65000</v>
      </c>
      <c r="P36" s="30">
        <v>600</v>
      </c>
      <c r="Q36" s="30">
        <f>(192-95)*P36</f>
        <v>58200</v>
      </c>
      <c r="R36" s="30">
        <v>28300</v>
      </c>
      <c r="S36" s="30"/>
    </row>
    <row r="37" spans="1:19" ht="22.15" customHeight="1" x14ac:dyDescent="0.6">
      <c r="A37" s="32">
        <v>2</v>
      </c>
      <c r="B37" s="161"/>
      <c r="C37" s="32" t="s">
        <v>32</v>
      </c>
      <c r="D37" s="34">
        <v>240000</v>
      </c>
      <c r="E37" s="34">
        <v>200000</v>
      </c>
      <c r="F37" s="34">
        <v>400000</v>
      </c>
      <c r="G37" s="36"/>
      <c r="H37" s="158">
        <v>350000</v>
      </c>
      <c r="I37" s="34">
        <f t="shared" ref="I37:I40" si="0">D37*1.3</f>
        <v>312000</v>
      </c>
      <c r="J37" s="34">
        <f t="shared" ref="J37:J41" si="1">M37+O37+Q37+R37</f>
        <v>351500</v>
      </c>
      <c r="K37" s="34">
        <v>192</v>
      </c>
      <c r="L37" s="34">
        <v>4</v>
      </c>
      <c r="M37" s="34">
        <v>200000</v>
      </c>
      <c r="N37" s="34">
        <v>65000</v>
      </c>
      <c r="O37" s="34">
        <f>(L37-3)*N37</f>
        <v>65000</v>
      </c>
      <c r="P37" s="34">
        <v>600</v>
      </c>
      <c r="Q37" s="34">
        <f>(192-95)*P37</f>
        <v>58200</v>
      </c>
      <c r="R37" s="34">
        <v>28300</v>
      </c>
      <c r="S37" s="34"/>
    </row>
    <row r="38" spans="1:19" ht="22.15" customHeight="1" x14ac:dyDescent="0.6">
      <c r="A38" s="32">
        <v>3</v>
      </c>
      <c r="B38" s="161"/>
      <c r="C38" s="32" t="s">
        <v>33</v>
      </c>
      <c r="D38" s="34">
        <v>230000</v>
      </c>
      <c r="E38" s="34">
        <v>150000</v>
      </c>
      <c r="F38" s="34">
        <v>300000</v>
      </c>
      <c r="G38" s="36"/>
      <c r="H38" s="158">
        <v>330000</v>
      </c>
      <c r="I38" s="34">
        <f t="shared" si="0"/>
        <v>299000</v>
      </c>
      <c r="J38" s="34">
        <f t="shared" si="1"/>
        <v>326800</v>
      </c>
      <c r="K38" s="34">
        <v>192</v>
      </c>
      <c r="L38" s="34">
        <v>4</v>
      </c>
      <c r="M38" s="34">
        <v>190000</v>
      </c>
      <c r="N38" s="34">
        <v>60000</v>
      </c>
      <c r="O38" s="34">
        <f t="shared" ref="O38:O41" si="2">(L38-3)*N38</f>
        <v>60000</v>
      </c>
      <c r="P38" s="34">
        <v>500</v>
      </c>
      <c r="Q38" s="34">
        <f t="shared" ref="Q38:Q40" si="3">(192-95)*P38</f>
        <v>48500</v>
      </c>
      <c r="R38" s="34">
        <v>28300</v>
      </c>
      <c r="S38" s="34"/>
    </row>
    <row r="39" spans="1:19" ht="22.15" customHeight="1" x14ac:dyDescent="0.6">
      <c r="A39" s="32">
        <v>4</v>
      </c>
      <c r="B39" s="161"/>
      <c r="C39" s="32" t="s">
        <v>21</v>
      </c>
      <c r="D39" s="34">
        <v>210000</v>
      </c>
      <c r="E39" s="34">
        <v>150000</v>
      </c>
      <c r="F39" s="34">
        <v>300000</v>
      </c>
      <c r="G39" s="36"/>
      <c r="H39" s="158">
        <v>300000</v>
      </c>
      <c r="I39" s="34">
        <f t="shared" si="0"/>
        <v>273000</v>
      </c>
      <c r="J39" s="34">
        <f t="shared" si="1"/>
        <v>311800</v>
      </c>
      <c r="K39" s="34">
        <v>192</v>
      </c>
      <c r="L39" s="34">
        <v>4</v>
      </c>
      <c r="M39" s="34">
        <v>180000</v>
      </c>
      <c r="N39" s="34">
        <v>55000</v>
      </c>
      <c r="O39" s="34">
        <f t="shared" si="2"/>
        <v>55000</v>
      </c>
      <c r="P39" s="34">
        <v>500</v>
      </c>
      <c r="Q39" s="34">
        <f t="shared" si="3"/>
        <v>48500</v>
      </c>
      <c r="R39" s="34">
        <v>28300</v>
      </c>
      <c r="S39" s="34"/>
    </row>
    <row r="40" spans="1:19" ht="22.15" customHeight="1" x14ac:dyDescent="0.6">
      <c r="A40" s="32">
        <v>5</v>
      </c>
      <c r="B40" s="161"/>
      <c r="C40" s="32" t="s">
        <v>34</v>
      </c>
      <c r="D40" s="34">
        <v>270000</v>
      </c>
      <c r="E40" s="34">
        <v>200000</v>
      </c>
      <c r="F40" s="34">
        <v>400000</v>
      </c>
      <c r="G40" s="36"/>
      <c r="H40" s="158">
        <v>450000</v>
      </c>
      <c r="I40" s="34">
        <f t="shared" si="0"/>
        <v>351000</v>
      </c>
      <c r="J40" s="34">
        <f t="shared" si="1"/>
        <v>511500</v>
      </c>
      <c r="K40" s="34">
        <v>192</v>
      </c>
      <c r="L40" s="34">
        <v>4</v>
      </c>
      <c r="M40" s="34">
        <v>350000</v>
      </c>
      <c r="N40" s="34">
        <v>75000</v>
      </c>
      <c r="O40" s="34">
        <f t="shared" si="2"/>
        <v>75000</v>
      </c>
      <c r="P40" s="34">
        <v>600</v>
      </c>
      <c r="Q40" s="34">
        <f t="shared" si="3"/>
        <v>58200</v>
      </c>
      <c r="R40" s="34">
        <v>28300</v>
      </c>
      <c r="S40" s="34"/>
    </row>
    <row r="41" spans="1:19" ht="22.15" customHeight="1" x14ac:dyDescent="0.6">
      <c r="A41" s="37">
        <v>6</v>
      </c>
      <c r="B41" s="162"/>
      <c r="C41" s="37" t="s">
        <v>35</v>
      </c>
      <c r="D41" s="92" t="s">
        <v>347</v>
      </c>
      <c r="E41" s="89" t="s">
        <v>350</v>
      </c>
      <c r="F41" s="39">
        <v>600000</v>
      </c>
      <c r="G41" s="45"/>
      <c r="H41" s="158">
        <v>700000</v>
      </c>
      <c r="I41" s="39"/>
      <c r="J41" s="39">
        <f t="shared" si="1"/>
        <v>735300</v>
      </c>
      <c r="K41" s="39">
        <v>192</v>
      </c>
      <c r="L41" s="34">
        <v>4</v>
      </c>
      <c r="M41" s="39">
        <v>500000</v>
      </c>
      <c r="N41" s="39">
        <v>110000</v>
      </c>
      <c r="O41" s="39">
        <f t="shared" si="2"/>
        <v>110000</v>
      </c>
      <c r="P41" s="39">
        <v>1000</v>
      </c>
      <c r="Q41" s="39">
        <f>(192-95)*P41</f>
        <v>97000</v>
      </c>
      <c r="R41" s="39">
        <v>28300</v>
      </c>
      <c r="S41" s="92"/>
    </row>
    <row r="42" spans="1:19" ht="22.15" customHeight="1" x14ac:dyDescent="0.6">
      <c r="A42" s="28">
        <v>7</v>
      </c>
      <c r="B42" s="160" t="s">
        <v>320</v>
      </c>
      <c r="C42" s="28" t="s">
        <v>4</v>
      </c>
      <c r="D42" s="30">
        <v>200000</v>
      </c>
      <c r="E42" s="30">
        <v>200000</v>
      </c>
      <c r="F42" s="30">
        <v>450000</v>
      </c>
      <c r="G42" s="31"/>
      <c r="H42" s="157">
        <v>260000</v>
      </c>
      <c r="I42" s="30">
        <f>D42*1.3</f>
        <v>260000</v>
      </c>
      <c r="J42" s="30">
        <f>M42+O42+Q42+R42</f>
        <v>264600</v>
      </c>
      <c r="K42" s="30">
        <v>106</v>
      </c>
      <c r="L42" s="30">
        <v>3</v>
      </c>
      <c r="M42" s="30">
        <v>200000</v>
      </c>
      <c r="N42" s="30">
        <v>65000</v>
      </c>
      <c r="O42" s="30">
        <f>(L42-3)*N42</f>
        <v>0</v>
      </c>
      <c r="P42" s="30">
        <v>600</v>
      </c>
      <c r="Q42" s="30">
        <f>(192-95)*P42</f>
        <v>58200</v>
      </c>
      <c r="R42" s="30">
        <v>6400</v>
      </c>
      <c r="S42" s="30"/>
    </row>
    <row r="43" spans="1:19" ht="22.15" customHeight="1" x14ac:dyDescent="0.6">
      <c r="A43" s="32">
        <v>8</v>
      </c>
      <c r="B43" s="161"/>
      <c r="C43" s="32" t="s">
        <v>32</v>
      </c>
      <c r="D43" s="34">
        <v>180000</v>
      </c>
      <c r="E43" s="34">
        <v>200000</v>
      </c>
      <c r="F43" s="34">
        <v>400000</v>
      </c>
      <c r="G43" s="36"/>
      <c r="H43" s="158">
        <v>260000</v>
      </c>
      <c r="I43" s="34">
        <f t="shared" ref="I43:I46" si="4">D43*1.3</f>
        <v>234000</v>
      </c>
      <c r="J43" s="34">
        <f t="shared" ref="J43:J47" si="5">M43+O43+Q43+R43</f>
        <v>264600</v>
      </c>
      <c r="K43" s="34">
        <v>106</v>
      </c>
      <c r="L43" s="34">
        <v>3</v>
      </c>
      <c r="M43" s="34">
        <v>200000</v>
      </c>
      <c r="N43" s="34">
        <v>65000</v>
      </c>
      <c r="O43" s="34">
        <f>(L43-3)*N43</f>
        <v>0</v>
      </c>
      <c r="P43" s="34">
        <v>600</v>
      </c>
      <c r="Q43" s="34">
        <f>(192-95)*P43</f>
        <v>58200</v>
      </c>
      <c r="R43" s="34">
        <v>6400</v>
      </c>
      <c r="S43" s="34"/>
    </row>
    <row r="44" spans="1:19" ht="22.15" customHeight="1" x14ac:dyDescent="0.6">
      <c r="A44" s="32">
        <v>9</v>
      </c>
      <c r="B44" s="161"/>
      <c r="C44" s="32" t="s">
        <v>33</v>
      </c>
      <c r="D44" s="34">
        <v>170000</v>
      </c>
      <c r="E44" s="34">
        <v>150000</v>
      </c>
      <c r="F44" s="34">
        <v>300000</v>
      </c>
      <c r="G44" s="36"/>
      <c r="H44" s="158">
        <v>240000</v>
      </c>
      <c r="I44" s="34">
        <f t="shared" si="4"/>
        <v>221000</v>
      </c>
      <c r="J44" s="34">
        <f t="shared" si="5"/>
        <v>244900</v>
      </c>
      <c r="K44" s="34">
        <v>106</v>
      </c>
      <c r="L44" s="34">
        <v>3</v>
      </c>
      <c r="M44" s="34">
        <v>190000</v>
      </c>
      <c r="N44" s="34">
        <v>60000</v>
      </c>
      <c r="O44" s="34">
        <f t="shared" ref="O44:O47" si="6">(L44-3)*N44</f>
        <v>0</v>
      </c>
      <c r="P44" s="34">
        <v>500</v>
      </c>
      <c r="Q44" s="34">
        <f t="shared" ref="Q44:Q46" si="7">(192-95)*P44</f>
        <v>48500</v>
      </c>
      <c r="R44" s="34">
        <v>6400</v>
      </c>
      <c r="S44" s="34"/>
    </row>
    <row r="45" spans="1:19" ht="22.15" customHeight="1" x14ac:dyDescent="0.6">
      <c r="A45" s="32">
        <v>10</v>
      </c>
      <c r="B45" s="161"/>
      <c r="C45" s="32" t="s">
        <v>21</v>
      </c>
      <c r="D45" s="34">
        <v>160000</v>
      </c>
      <c r="E45" s="34">
        <v>150000</v>
      </c>
      <c r="F45" s="34">
        <v>300000</v>
      </c>
      <c r="G45" s="36"/>
      <c r="H45" s="158">
        <v>220000</v>
      </c>
      <c r="I45" s="34">
        <f t="shared" si="4"/>
        <v>208000</v>
      </c>
      <c r="J45" s="34">
        <f t="shared" si="5"/>
        <v>234900</v>
      </c>
      <c r="K45" s="34">
        <v>106</v>
      </c>
      <c r="L45" s="34">
        <v>3</v>
      </c>
      <c r="M45" s="34">
        <v>180000</v>
      </c>
      <c r="N45" s="34">
        <v>55000</v>
      </c>
      <c r="O45" s="34">
        <f t="shared" si="6"/>
        <v>0</v>
      </c>
      <c r="P45" s="34">
        <v>500</v>
      </c>
      <c r="Q45" s="34">
        <f t="shared" si="7"/>
        <v>48500</v>
      </c>
      <c r="R45" s="34">
        <v>6400</v>
      </c>
      <c r="S45" s="34"/>
    </row>
    <row r="46" spans="1:19" ht="22.15" customHeight="1" x14ac:dyDescent="0.6">
      <c r="A46" s="32">
        <v>11</v>
      </c>
      <c r="B46" s="161"/>
      <c r="C46" s="32" t="s">
        <v>34</v>
      </c>
      <c r="D46" s="34">
        <v>200000</v>
      </c>
      <c r="E46" s="34">
        <v>200000</v>
      </c>
      <c r="F46" s="34">
        <v>400000</v>
      </c>
      <c r="G46" s="36"/>
      <c r="H46" s="158">
        <v>350000</v>
      </c>
      <c r="I46" s="34">
        <f t="shared" si="4"/>
        <v>260000</v>
      </c>
      <c r="J46" s="34">
        <f t="shared" si="5"/>
        <v>414600</v>
      </c>
      <c r="K46" s="34">
        <v>106</v>
      </c>
      <c r="L46" s="34">
        <v>3</v>
      </c>
      <c r="M46" s="34">
        <v>350000</v>
      </c>
      <c r="N46" s="34">
        <v>75000</v>
      </c>
      <c r="O46" s="34">
        <f t="shared" si="6"/>
        <v>0</v>
      </c>
      <c r="P46" s="34">
        <v>600</v>
      </c>
      <c r="Q46" s="34">
        <f t="shared" si="7"/>
        <v>58200</v>
      </c>
      <c r="R46" s="34">
        <v>6400</v>
      </c>
      <c r="S46" s="34"/>
    </row>
    <row r="47" spans="1:19" ht="22.15" customHeight="1" x14ac:dyDescent="0.6">
      <c r="A47" s="37">
        <v>12</v>
      </c>
      <c r="B47" s="162"/>
      <c r="C47" s="37" t="s">
        <v>35</v>
      </c>
      <c r="D47" s="92" t="s">
        <v>347</v>
      </c>
      <c r="E47" s="89" t="s">
        <v>350</v>
      </c>
      <c r="F47" s="39">
        <v>550000</v>
      </c>
      <c r="G47" s="45"/>
      <c r="H47" s="158">
        <v>600000</v>
      </c>
      <c r="I47" s="39"/>
      <c r="J47" s="39">
        <f t="shared" si="5"/>
        <v>603400</v>
      </c>
      <c r="K47" s="34">
        <v>106</v>
      </c>
      <c r="L47" s="39">
        <v>3</v>
      </c>
      <c r="M47" s="39">
        <v>500000</v>
      </c>
      <c r="N47" s="39">
        <v>110000</v>
      </c>
      <c r="O47" s="39">
        <f t="shared" si="6"/>
        <v>0</v>
      </c>
      <c r="P47" s="39">
        <v>1000</v>
      </c>
      <c r="Q47" s="39">
        <f>(192-95)*P47</f>
        <v>97000</v>
      </c>
      <c r="R47" s="39">
        <v>6400</v>
      </c>
      <c r="S47" s="92"/>
    </row>
    <row r="48" spans="1:19" ht="22.15" customHeight="1" x14ac:dyDescent="0.6">
      <c r="A48" s="28">
        <v>13</v>
      </c>
      <c r="B48" s="160" t="s">
        <v>321</v>
      </c>
      <c r="C48" s="28" t="s">
        <v>4</v>
      </c>
      <c r="D48" s="30">
        <v>230000</v>
      </c>
      <c r="E48" s="90" t="s">
        <v>347</v>
      </c>
      <c r="F48" s="30">
        <v>450000</v>
      </c>
      <c r="G48" s="31"/>
      <c r="H48" s="157">
        <v>300000</v>
      </c>
      <c r="I48" s="30">
        <f>D48*1.3</f>
        <v>299000</v>
      </c>
      <c r="J48" s="30">
        <f>M48+O48+Q48+R48</f>
        <v>269300</v>
      </c>
      <c r="K48" s="30">
        <v>130</v>
      </c>
      <c r="L48" s="30">
        <v>3</v>
      </c>
      <c r="M48" s="30">
        <v>200000</v>
      </c>
      <c r="N48" s="30">
        <v>65000</v>
      </c>
      <c r="O48" s="30">
        <f>(L48-3)*N48</f>
        <v>0</v>
      </c>
      <c r="P48" s="30">
        <v>600</v>
      </c>
      <c r="Q48" s="30">
        <f>(192-95)*P48</f>
        <v>58200</v>
      </c>
      <c r="R48" s="30">
        <v>11100</v>
      </c>
      <c r="S48" s="30"/>
    </row>
    <row r="49" spans="1:19" ht="22.15" customHeight="1" x14ac:dyDescent="0.6">
      <c r="A49" s="32">
        <v>14</v>
      </c>
      <c r="B49" s="161"/>
      <c r="C49" s="32" t="s">
        <v>32</v>
      </c>
      <c r="D49" s="34">
        <v>200000</v>
      </c>
      <c r="E49" s="91" t="s">
        <v>347</v>
      </c>
      <c r="F49" s="34">
        <v>400000</v>
      </c>
      <c r="G49" s="36"/>
      <c r="H49" s="158">
        <v>300000</v>
      </c>
      <c r="I49" s="34">
        <f t="shared" ref="I49:I52" si="8">D49*1.3</f>
        <v>260000</v>
      </c>
      <c r="J49" s="34">
        <f t="shared" ref="J49:J53" si="9">M49+O49+Q49+R49</f>
        <v>269300</v>
      </c>
      <c r="K49" s="34">
        <v>130</v>
      </c>
      <c r="L49" s="34">
        <v>3</v>
      </c>
      <c r="M49" s="34">
        <v>200000</v>
      </c>
      <c r="N49" s="34">
        <v>65000</v>
      </c>
      <c r="O49" s="34">
        <f>(L49-3)*N49</f>
        <v>0</v>
      </c>
      <c r="P49" s="34">
        <v>600</v>
      </c>
      <c r="Q49" s="34">
        <f>(192-95)*P49</f>
        <v>58200</v>
      </c>
      <c r="R49" s="34">
        <v>11100</v>
      </c>
      <c r="S49" s="34"/>
    </row>
    <row r="50" spans="1:19" ht="22.15" customHeight="1" x14ac:dyDescent="0.6">
      <c r="A50" s="32">
        <v>15</v>
      </c>
      <c r="B50" s="161"/>
      <c r="C50" s="32" t="s">
        <v>33</v>
      </c>
      <c r="D50" s="34">
        <v>180000</v>
      </c>
      <c r="E50" s="91" t="s">
        <v>347</v>
      </c>
      <c r="F50" s="34">
        <v>300000</v>
      </c>
      <c r="G50" s="36"/>
      <c r="H50" s="158">
        <v>280000</v>
      </c>
      <c r="I50" s="34">
        <f t="shared" si="8"/>
        <v>234000</v>
      </c>
      <c r="J50" s="34">
        <f t="shared" si="9"/>
        <v>249600</v>
      </c>
      <c r="K50" s="34">
        <v>130</v>
      </c>
      <c r="L50" s="34">
        <v>3</v>
      </c>
      <c r="M50" s="34">
        <v>190000</v>
      </c>
      <c r="N50" s="34">
        <v>60000</v>
      </c>
      <c r="O50" s="34">
        <f t="shared" ref="O50:O53" si="10">(L50-3)*N50</f>
        <v>0</v>
      </c>
      <c r="P50" s="34">
        <v>500</v>
      </c>
      <c r="Q50" s="34">
        <f t="shared" ref="Q50:Q52" si="11">(192-95)*P50</f>
        <v>48500</v>
      </c>
      <c r="R50" s="34">
        <v>11100</v>
      </c>
      <c r="S50" s="34"/>
    </row>
    <row r="51" spans="1:19" ht="22.15" customHeight="1" x14ac:dyDescent="0.6">
      <c r="A51" s="32">
        <v>16</v>
      </c>
      <c r="B51" s="161"/>
      <c r="C51" s="32" t="s">
        <v>21</v>
      </c>
      <c r="D51" s="34">
        <v>170000</v>
      </c>
      <c r="E51" s="91" t="s">
        <v>347</v>
      </c>
      <c r="F51" s="34">
        <v>300000</v>
      </c>
      <c r="G51" s="36"/>
      <c r="H51" s="158">
        <v>250000</v>
      </c>
      <c r="I51" s="34">
        <f t="shared" si="8"/>
        <v>221000</v>
      </c>
      <c r="J51" s="34">
        <f t="shared" si="9"/>
        <v>239600</v>
      </c>
      <c r="K51" s="34">
        <v>130</v>
      </c>
      <c r="L51" s="34">
        <v>3</v>
      </c>
      <c r="M51" s="34">
        <v>180000</v>
      </c>
      <c r="N51" s="34">
        <v>55000</v>
      </c>
      <c r="O51" s="34">
        <f t="shared" si="10"/>
        <v>0</v>
      </c>
      <c r="P51" s="34">
        <v>500</v>
      </c>
      <c r="Q51" s="34">
        <f t="shared" si="11"/>
        <v>48500</v>
      </c>
      <c r="R51" s="34">
        <v>11100</v>
      </c>
      <c r="S51" s="34"/>
    </row>
    <row r="52" spans="1:19" ht="22.15" customHeight="1" x14ac:dyDescent="0.6">
      <c r="A52" s="32">
        <v>17</v>
      </c>
      <c r="B52" s="161"/>
      <c r="C52" s="32" t="s">
        <v>34</v>
      </c>
      <c r="D52" s="34">
        <v>230000</v>
      </c>
      <c r="E52" s="91" t="s">
        <v>347</v>
      </c>
      <c r="F52" s="34">
        <v>400000</v>
      </c>
      <c r="G52" s="36"/>
      <c r="H52" s="158">
        <v>400000</v>
      </c>
      <c r="I52" s="34">
        <f t="shared" si="8"/>
        <v>299000</v>
      </c>
      <c r="J52" s="34">
        <f t="shared" si="9"/>
        <v>419300</v>
      </c>
      <c r="K52" s="34">
        <v>130</v>
      </c>
      <c r="L52" s="34">
        <v>3</v>
      </c>
      <c r="M52" s="34">
        <v>350000</v>
      </c>
      <c r="N52" s="34">
        <v>75000</v>
      </c>
      <c r="O52" s="34">
        <f t="shared" si="10"/>
        <v>0</v>
      </c>
      <c r="P52" s="34">
        <v>600</v>
      </c>
      <c r="Q52" s="34">
        <f t="shared" si="11"/>
        <v>58200</v>
      </c>
      <c r="R52" s="34">
        <v>11100</v>
      </c>
      <c r="S52" s="34"/>
    </row>
    <row r="53" spans="1:19" ht="22.15" customHeight="1" x14ac:dyDescent="0.6">
      <c r="A53" s="37">
        <v>18</v>
      </c>
      <c r="B53" s="162"/>
      <c r="C53" s="37" t="s">
        <v>35</v>
      </c>
      <c r="D53" s="92" t="s">
        <v>347</v>
      </c>
      <c r="E53" s="92" t="s">
        <v>347</v>
      </c>
      <c r="F53" s="39">
        <v>550000</v>
      </c>
      <c r="G53" s="45"/>
      <c r="H53" s="158">
        <v>650000</v>
      </c>
      <c r="I53" s="39"/>
      <c r="J53" s="39">
        <f t="shared" si="9"/>
        <v>608100</v>
      </c>
      <c r="K53" s="39">
        <v>130</v>
      </c>
      <c r="L53" s="39">
        <v>3</v>
      </c>
      <c r="M53" s="39">
        <v>500000</v>
      </c>
      <c r="N53" s="39">
        <v>110000</v>
      </c>
      <c r="O53" s="39">
        <f t="shared" si="10"/>
        <v>0</v>
      </c>
      <c r="P53" s="39">
        <v>1000</v>
      </c>
      <c r="Q53" s="39">
        <f>(192-95)*P53</f>
        <v>97000</v>
      </c>
      <c r="R53" s="39">
        <v>11100</v>
      </c>
      <c r="S53" s="92"/>
    </row>
    <row r="54" spans="1:19" ht="22.15" customHeight="1" x14ac:dyDescent="0.6">
      <c r="A54" s="28">
        <v>19</v>
      </c>
      <c r="B54" s="160" t="s">
        <v>322</v>
      </c>
      <c r="C54" s="28" t="s">
        <v>4</v>
      </c>
      <c r="D54" s="30">
        <v>230000</v>
      </c>
      <c r="E54" s="30">
        <v>200000</v>
      </c>
      <c r="F54" s="30">
        <v>450000</v>
      </c>
      <c r="G54" s="31"/>
      <c r="H54" s="157">
        <v>300000</v>
      </c>
      <c r="I54" s="30">
        <f>D54*1.3</f>
        <v>299000</v>
      </c>
      <c r="J54" s="30">
        <f>M54+O54+Q54+R54</f>
        <v>266300</v>
      </c>
      <c r="K54" s="30">
        <v>145</v>
      </c>
      <c r="L54" s="30">
        <v>3</v>
      </c>
      <c r="M54" s="30">
        <v>200000</v>
      </c>
      <c r="N54" s="30">
        <v>65000</v>
      </c>
      <c r="O54" s="30">
        <f>(L54-3)*N54</f>
        <v>0</v>
      </c>
      <c r="P54" s="30">
        <v>600</v>
      </c>
      <c r="Q54" s="30">
        <f>(192-95)*P54</f>
        <v>58200</v>
      </c>
      <c r="R54" s="30">
        <v>8100</v>
      </c>
      <c r="S54" s="30"/>
    </row>
    <row r="55" spans="1:19" ht="22.15" customHeight="1" x14ac:dyDescent="0.6">
      <c r="A55" s="32">
        <v>20</v>
      </c>
      <c r="B55" s="161"/>
      <c r="C55" s="32" t="s">
        <v>32</v>
      </c>
      <c r="D55" s="34">
        <v>200000</v>
      </c>
      <c r="E55" s="34">
        <v>200000</v>
      </c>
      <c r="F55" s="34">
        <v>400000</v>
      </c>
      <c r="G55" s="36"/>
      <c r="H55" s="158">
        <v>300000</v>
      </c>
      <c r="I55" s="34">
        <f t="shared" ref="I55:I58" si="12">D55*1.3</f>
        <v>260000</v>
      </c>
      <c r="J55" s="34">
        <f t="shared" ref="J55:J59" si="13">M55+O55+Q55+R55</f>
        <v>266300</v>
      </c>
      <c r="K55" s="34">
        <v>145</v>
      </c>
      <c r="L55" s="34">
        <v>3</v>
      </c>
      <c r="M55" s="34">
        <v>200000</v>
      </c>
      <c r="N55" s="34">
        <v>65000</v>
      </c>
      <c r="O55" s="34">
        <f>(L55-3)*N55</f>
        <v>0</v>
      </c>
      <c r="P55" s="34">
        <v>600</v>
      </c>
      <c r="Q55" s="34">
        <f>(192-95)*P55</f>
        <v>58200</v>
      </c>
      <c r="R55" s="34">
        <v>8100</v>
      </c>
      <c r="S55" s="34"/>
    </row>
    <row r="56" spans="1:19" ht="22.15" customHeight="1" x14ac:dyDescent="0.6">
      <c r="A56" s="32">
        <v>21</v>
      </c>
      <c r="B56" s="161"/>
      <c r="C56" s="32" t="s">
        <v>33</v>
      </c>
      <c r="D56" s="34">
        <v>180000</v>
      </c>
      <c r="E56" s="34">
        <v>150000</v>
      </c>
      <c r="F56" s="34">
        <v>300000</v>
      </c>
      <c r="G56" s="36"/>
      <c r="H56" s="158">
        <v>280000</v>
      </c>
      <c r="I56" s="34">
        <f t="shared" si="12"/>
        <v>234000</v>
      </c>
      <c r="J56" s="34">
        <f t="shared" si="13"/>
        <v>246600</v>
      </c>
      <c r="K56" s="34">
        <v>145</v>
      </c>
      <c r="L56" s="34">
        <v>3</v>
      </c>
      <c r="M56" s="34">
        <v>190000</v>
      </c>
      <c r="N56" s="34">
        <v>60000</v>
      </c>
      <c r="O56" s="34">
        <f t="shared" ref="O56:O59" si="14">(L56-3)*N56</f>
        <v>0</v>
      </c>
      <c r="P56" s="34">
        <v>500</v>
      </c>
      <c r="Q56" s="34">
        <f t="shared" ref="Q56:Q58" si="15">(192-95)*P56</f>
        <v>48500</v>
      </c>
      <c r="R56" s="34">
        <v>8100</v>
      </c>
      <c r="S56" s="34"/>
    </row>
    <row r="57" spans="1:19" ht="22.15" customHeight="1" x14ac:dyDescent="0.6">
      <c r="A57" s="32">
        <v>22</v>
      </c>
      <c r="B57" s="161"/>
      <c r="C57" s="32" t="s">
        <v>21</v>
      </c>
      <c r="D57" s="34">
        <v>170000</v>
      </c>
      <c r="E57" s="34">
        <v>150000</v>
      </c>
      <c r="F57" s="34">
        <v>300000</v>
      </c>
      <c r="G57" s="36"/>
      <c r="H57" s="158">
        <v>250000</v>
      </c>
      <c r="I57" s="34">
        <f t="shared" si="12"/>
        <v>221000</v>
      </c>
      <c r="J57" s="34">
        <f t="shared" si="13"/>
        <v>236600</v>
      </c>
      <c r="K57" s="34">
        <v>145</v>
      </c>
      <c r="L57" s="34">
        <v>3</v>
      </c>
      <c r="M57" s="34">
        <v>180000</v>
      </c>
      <c r="N57" s="34">
        <v>55000</v>
      </c>
      <c r="O57" s="34">
        <f t="shared" si="14"/>
        <v>0</v>
      </c>
      <c r="P57" s="34">
        <v>500</v>
      </c>
      <c r="Q57" s="34">
        <f t="shared" si="15"/>
        <v>48500</v>
      </c>
      <c r="R57" s="34">
        <v>8100</v>
      </c>
      <c r="S57" s="34"/>
    </row>
    <row r="58" spans="1:19" ht="22.15" customHeight="1" x14ac:dyDescent="0.6">
      <c r="A58" s="32">
        <v>23</v>
      </c>
      <c r="B58" s="161"/>
      <c r="C58" s="32" t="s">
        <v>34</v>
      </c>
      <c r="D58" s="34">
        <v>230000</v>
      </c>
      <c r="E58" s="34">
        <v>200000</v>
      </c>
      <c r="F58" s="34">
        <v>400000</v>
      </c>
      <c r="G58" s="36"/>
      <c r="H58" s="158">
        <v>400000</v>
      </c>
      <c r="I58" s="34">
        <f t="shared" si="12"/>
        <v>299000</v>
      </c>
      <c r="J58" s="34">
        <f t="shared" si="13"/>
        <v>416300</v>
      </c>
      <c r="K58" s="34">
        <v>145</v>
      </c>
      <c r="L58" s="34">
        <v>3</v>
      </c>
      <c r="M58" s="34">
        <v>350000</v>
      </c>
      <c r="N58" s="34">
        <v>75000</v>
      </c>
      <c r="O58" s="34">
        <f t="shared" si="14"/>
        <v>0</v>
      </c>
      <c r="P58" s="34">
        <v>600</v>
      </c>
      <c r="Q58" s="34">
        <f t="shared" si="15"/>
        <v>58200</v>
      </c>
      <c r="R58" s="34">
        <v>8100</v>
      </c>
      <c r="S58" s="34"/>
    </row>
    <row r="59" spans="1:19" ht="22.15" customHeight="1" x14ac:dyDescent="0.6">
      <c r="A59" s="37">
        <v>24</v>
      </c>
      <c r="B59" s="162"/>
      <c r="C59" s="37" t="s">
        <v>35</v>
      </c>
      <c r="D59" s="92" t="s">
        <v>347</v>
      </c>
      <c r="E59" s="89" t="s">
        <v>350</v>
      </c>
      <c r="F59" s="39">
        <v>550000</v>
      </c>
      <c r="G59" s="45"/>
      <c r="H59" s="158">
        <v>650000</v>
      </c>
      <c r="I59" s="39"/>
      <c r="J59" s="39">
        <f t="shared" si="13"/>
        <v>605100</v>
      </c>
      <c r="K59" s="39">
        <v>145</v>
      </c>
      <c r="L59" s="39">
        <v>3</v>
      </c>
      <c r="M59" s="39">
        <v>500000</v>
      </c>
      <c r="N59" s="39">
        <v>110000</v>
      </c>
      <c r="O59" s="39">
        <f t="shared" si="14"/>
        <v>0</v>
      </c>
      <c r="P59" s="39">
        <v>1000</v>
      </c>
      <c r="Q59" s="39">
        <f>(192-95)*P59</f>
        <v>97000</v>
      </c>
      <c r="R59" s="39">
        <v>8100</v>
      </c>
      <c r="S59" s="92"/>
    </row>
    <row r="60" spans="1:19" ht="22.15" customHeight="1" x14ac:dyDescent="0.6">
      <c r="A60" s="28">
        <v>25</v>
      </c>
      <c r="B60" s="160" t="s">
        <v>323</v>
      </c>
      <c r="C60" s="28" t="s">
        <v>4</v>
      </c>
      <c r="D60" s="30">
        <v>250000</v>
      </c>
      <c r="E60" s="30">
        <v>250000</v>
      </c>
      <c r="F60" s="30">
        <v>450000</v>
      </c>
      <c r="G60" s="31"/>
      <c r="H60" s="157">
        <v>350000</v>
      </c>
      <c r="I60" s="30">
        <f>D60*1.3</f>
        <v>325000</v>
      </c>
      <c r="J60" s="30">
        <f>M60+O60+Q60+R60</f>
        <v>333100</v>
      </c>
      <c r="K60" s="30">
        <v>200</v>
      </c>
      <c r="L60" s="30">
        <v>4</v>
      </c>
      <c r="M60" s="30">
        <v>200000</v>
      </c>
      <c r="N60" s="30">
        <v>65000</v>
      </c>
      <c r="O60" s="30">
        <f>(L60-3)*N60</f>
        <v>65000</v>
      </c>
      <c r="P60" s="30">
        <v>600</v>
      </c>
      <c r="Q60" s="30">
        <f>(192-95)*P60</f>
        <v>58200</v>
      </c>
      <c r="R60" s="30">
        <v>9900</v>
      </c>
      <c r="S60" s="30"/>
    </row>
    <row r="61" spans="1:19" ht="22.15" customHeight="1" x14ac:dyDescent="0.6">
      <c r="A61" s="32">
        <v>26</v>
      </c>
      <c r="B61" s="161"/>
      <c r="C61" s="32" t="s">
        <v>32</v>
      </c>
      <c r="D61" s="34">
        <v>230000</v>
      </c>
      <c r="E61" s="34">
        <v>250000</v>
      </c>
      <c r="F61" s="34">
        <v>400000</v>
      </c>
      <c r="G61" s="36"/>
      <c r="H61" s="158">
        <v>350000</v>
      </c>
      <c r="I61" s="34">
        <f t="shared" ref="I61:I64" si="16">D61*1.3</f>
        <v>299000</v>
      </c>
      <c r="J61" s="34">
        <f t="shared" ref="J61:J65" si="17">M61+O61+Q61+R61</f>
        <v>333100</v>
      </c>
      <c r="K61" s="34">
        <v>200</v>
      </c>
      <c r="L61" s="34">
        <v>4</v>
      </c>
      <c r="M61" s="34">
        <v>200000</v>
      </c>
      <c r="N61" s="34">
        <v>65000</v>
      </c>
      <c r="O61" s="34">
        <f>(L61-3)*N61</f>
        <v>65000</v>
      </c>
      <c r="P61" s="34">
        <v>600</v>
      </c>
      <c r="Q61" s="34">
        <f>(192-95)*P61</f>
        <v>58200</v>
      </c>
      <c r="R61" s="34">
        <v>9900</v>
      </c>
      <c r="S61" s="34"/>
    </row>
    <row r="62" spans="1:19" ht="22.15" customHeight="1" x14ac:dyDescent="0.6">
      <c r="A62" s="32">
        <v>27</v>
      </c>
      <c r="B62" s="161"/>
      <c r="C62" s="32" t="s">
        <v>33</v>
      </c>
      <c r="D62" s="34">
        <v>220000</v>
      </c>
      <c r="E62" s="34">
        <v>200000</v>
      </c>
      <c r="F62" s="34">
        <v>300000</v>
      </c>
      <c r="G62" s="36"/>
      <c r="H62" s="158">
        <v>330000</v>
      </c>
      <c r="I62" s="34">
        <f t="shared" si="16"/>
        <v>286000</v>
      </c>
      <c r="J62" s="34">
        <f t="shared" si="17"/>
        <v>308400</v>
      </c>
      <c r="K62" s="34">
        <v>200</v>
      </c>
      <c r="L62" s="34">
        <v>4</v>
      </c>
      <c r="M62" s="34">
        <v>190000</v>
      </c>
      <c r="N62" s="34">
        <v>60000</v>
      </c>
      <c r="O62" s="34">
        <f t="shared" ref="O62:O65" si="18">(L62-3)*N62</f>
        <v>60000</v>
      </c>
      <c r="P62" s="34">
        <v>500</v>
      </c>
      <c r="Q62" s="34">
        <f t="shared" ref="Q62:Q64" si="19">(192-95)*P62</f>
        <v>48500</v>
      </c>
      <c r="R62" s="34">
        <v>9900</v>
      </c>
      <c r="S62" s="34"/>
    </row>
    <row r="63" spans="1:19" ht="22.15" customHeight="1" x14ac:dyDescent="0.6">
      <c r="A63" s="32">
        <v>28</v>
      </c>
      <c r="B63" s="161"/>
      <c r="C63" s="32" t="s">
        <v>21</v>
      </c>
      <c r="D63" s="34">
        <v>200000</v>
      </c>
      <c r="E63" s="34">
        <v>200000</v>
      </c>
      <c r="F63" s="34">
        <v>300000</v>
      </c>
      <c r="G63" s="36"/>
      <c r="H63" s="158">
        <v>300000</v>
      </c>
      <c r="I63" s="34">
        <f t="shared" si="16"/>
        <v>260000</v>
      </c>
      <c r="J63" s="34">
        <f t="shared" si="17"/>
        <v>293400</v>
      </c>
      <c r="K63" s="34">
        <v>200</v>
      </c>
      <c r="L63" s="34">
        <v>4</v>
      </c>
      <c r="M63" s="34">
        <v>180000</v>
      </c>
      <c r="N63" s="34">
        <v>55000</v>
      </c>
      <c r="O63" s="34">
        <f t="shared" si="18"/>
        <v>55000</v>
      </c>
      <c r="P63" s="34">
        <v>500</v>
      </c>
      <c r="Q63" s="34">
        <f t="shared" si="19"/>
        <v>48500</v>
      </c>
      <c r="R63" s="34">
        <v>9900</v>
      </c>
      <c r="S63" s="34"/>
    </row>
    <row r="64" spans="1:19" ht="22.15" customHeight="1" x14ac:dyDescent="0.6">
      <c r="A64" s="32">
        <v>29</v>
      </c>
      <c r="B64" s="161"/>
      <c r="C64" s="32" t="s">
        <v>34</v>
      </c>
      <c r="D64" s="34">
        <v>250000</v>
      </c>
      <c r="E64" s="34">
        <v>250000</v>
      </c>
      <c r="F64" s="34">
        <v>400000</v>
      </c>
      <c r="G64" s="36"/>
      <c r="H64" s="158">
        <v>450000</v>
      </c>
      <c r="I64" s="34">
        <f t="shared" si="16"/>
        <v>325000</v>
      </c>
      <c r="J64" s="34">
        <f t="shared" si="17"/>
        <v>493100</v>
      </c>
      <c r="K64" s="34">
        <v>200</v>
      </c>
      <c r="L64" s="34">
        <v>4</v>
      </c>
      <c r="M64" s="34">
        <v>350000</v>
      </c>
      <c r="N64" s="34">
        <v>75000</v>
      </c>
      <c r="O64" s="34">
        <f t="shared" si="18"/>
        <v>75000</v>
      </c>
      <c r="P64" s="34">
        <v>600</v>
      </c>
      <c r="Q64" s="34">
        <f t="shared" si="19"/>
        <v>58200</v>
      </c>
      <c r="R64" s="34">
        <v>9900</v>
      </c>
      <c r="S64" s="34"/>
    </row>
    <row r="65" spans="1:19" ht="22.15" customHeight="1" x14ac:dyDescent="0.6">
      <c r="A65" s="37">
        <v>30</v>
      </c>
      <c r="B65" s="162"/>
      <c r="C65" s="37" t="s">
        <v>35</v>
      </c>
      <c r="D65" s="39"/>
      <c r="E65" s="89" t="s">
        <v>351</v>
      </c>
      <c r="F65" s="39">
        <v>550000</v>
      </c>
      <c r="G65" s="45"/>
      <c r="H65" s="158">
        <v>700000</v>
      </c>
      <c r="I65" s="39"/>
      <c r="J65" s="39">
        <f t="shared" si="17"/>
        <v>716900</v>
      </c>
      <c r="K65" s="39">
        <v>200</v>
      </c>
      <c r="L65" s="39">
        <v>4</v>
      </c>
      <c r="M65" s="39">
        <v>500000</v>
      </c>
      <c r="N65" s="39">
        <v>110000</v>
      </c>
      <c r="O65" s="39">
        <f t="shared" si="18"/>
        <v>110000</v>
      </c>
      <c r="P65" s="39">
        <v>1000</v>
      </c>
      <c r="Q65" s="39">
        <f>(192-95)*P65</f>
        <v>97000</v>
      </c>
      <c r="R65" s="39">
        <v>9900</v>
      </c>
      <c r="S65" s="39"/>
    </row>
    <row r="66" spans="1:19" ht="22.15" customHeight="1" x14ac:dyDescent="0.6">
      <c r="A66" s="28">
        <v>31</v>
      </c>
      <c r="B66" s="160" t="s">
        <v>324</v>
      </c>
      <c r="C66" s="28" t="s">
        <v>4</v>
      </c>
      <c r="D66" s="30">
        <v>300000</v>
      </c>
      <c r="E66" s="30">
        <v>250000</v>
      </c>
      <c r="F66" s="30">
        <v>480000</v>
      </c>
      <c r="G66" s="31"/>
      <c r="H66" s="157">
        <v>400000</v>
      </c>
      <c r="I66" s="30">
        <f>D66*1.3</f>
        <v>390000</v>
      </c>
      <c r="J66" s="30">
        <f>M66+O66+Q66+R66</f>
        <v>334800</v>
      </c>
      <c r="K66" s="30">
        <v>226</v>
      </c>
      <c r="L66" s="30">
        <v>4</v>
      </c>
      <c r="M66" s="30">
        <v>200000</v>
      </c>
      <c r="N66" s="30">
        <v>65000</v>
      </c>
      <c r="O66" s="30">
        <f>(L66-3)*N66</f>
        <v>65000</v>
      </c>
      <c r="P66" s="30">
        <v>600</v>
      </c>
      <c r="Q66" s="30">
        <f>(192-95)*P66</f>
        <v>58200</v>
      </c>
      <c r="R66" s="30">
        <v>11600</v>
      </c>
      <c r="S66" s="30"/>
    </row>
    <row r="67" spans="1:19" ht="22.15" customHeight="1" x14ac:dyDescent="0.6">
      <c r="A67" s="32">
        <v>32</v>
      </c>
      <c r="B67" s="161"/>
      <c r="C67" s="32" t="s">
        <v>32</v>
      </c>
      <c r="D67" s="91" t="s">
        <v>347</v>
      </c>
      <c r="E67" s="34">
        <v>250000</v>
      </c>
      <c r="F67" s="34">
        <v>400000</v>
      </c>
      <c r="G67" s="36"/>
      <c r="H67" s="158">
        <v>400000</v>
      </c>
      <c r="I67" s="34"/>
      <c r="J67" s="34">
        <f t="shared" ref="J67:J71" si="20">M67+O67+Q67+R67</f>
        <v>334800</v>
      </c>
      <c r="K67" s="34">
        <v>226</v>
      </c>
      <c r="L67" s="34">
        <v>4</v>
      </c>
      <c r="M67" s="34">
        <v>200000</v>
      </c>
      <c r="N67" s="34">
        <v>65000</v>
      </c>
      <c r="O67" s="34">
        <f>(L67-3)*N67</f>
        <v>65000</v>
      </c>
      <c r="P67" s="34">
        <v>600</v>
      </c>
      <c r="Q67" s="34">
        <f>(192-95)*P67</f>
        <v>58200</v>
      </c>
      <c r="R67" s="34">
        <v>11600</v>
      </c>
      <c r="S67" s="91"/>
    </row>
    <row r="68" spans="1:19" ht="22.15" customHeight="1" x14ac:dyDescent="0.6">
      <c r="A68" s="32">
        <v>33</v>
      </c>
      <c r="B68" s="161"/>
      <c r="C68" s="32" t="s">
        <v>33</v>
      </c>
      <c r="D68" s="91" t="s">
        <v>347</v>
      </c>
      <c r="E68" s="34">
        <v>200000</v>
      </c>
      <c r="F68" s="34">
        <v>300000</v>
      </c>
      <c r="G68" s="36"/>
      <c r="H68" s="158">
        <v>380000</v>
      </c>
      <c r="I68" s="34"/>
      <c r="J68" s="34">
        <f t="shared" si="20"/>
        <v>310100</v>
      </c>
      <c r="K68" s="34">
        <v>226</v>
      </c>
      <c r="L68" s="34">
        <v>4</v>
      </c>
      <c r="M68" s="34">
        <v>190000</v>
      </c>
      <c r="N68" s="34">
        <v>60000</v>
      </c>
      <c r="O68" s="34">
        <f t="shared" ref="O68:O71" si="21">(L68-3)*N68</f>
        <v>60000</v>
      </c>
      <c r="P68" s="34">
        <v>500</v>
      </c>
      <c r="Q68" s="34">
        <f t="shared" ref="Q68:Q70" si="22">(192-95)*P68</f>
        <v>48500</v>
      </c>
      <c r="R68" s="34">
        <v>11600</v>
      </c>
      <c r="S68" s="91"/>
    </row>
    <row r="69" spans="1:19" ht="22.15" customHeight="1" x14ac:dyDescent="0.6">
      <c r="A69" s="32">
        <v>34</v>
      </c>
      <c r="B69" s="161"/>
      <c r="C69" s="32" t="s">
        <v>21</v>
      </c>
      <c r="D69" s="91" t="s">
        <v>347</v>
      </c>
      <c r="E69" s="34">
        <v>200000</v>
      </c>
      <c r="F69" s="34">
        <v>300000</v>
      </c>
      <c r="G69" s="36"/>
      <c r="H69" s="158">
        <v>350000</v>
      </c>
      <c r="I69" s="34"/>
      <c r="J69" s="34">
        <f t="shared" si="20"/>
        <v>295100</v>
      </c>
      <c r="K69" s="34">
        <v>226</v>
      </c>
      <c r="L69" s="34">
        <v>4</v>
      </c>
      <c r="M69" s="34">
        <v>180000</v>
      </c>
      <c r="N69" s="34">
        <v>55000</v>
      </c>
      <c r="O69" s="34">
        <f t="shared" si="21"/>
        <v>55000</v>
      </c>
      <c r="P69" s="34">
        <v>500</v>
      </c>
      <c r="Q69" s="34">
        <f t="shared" si="22"/>
        <v>48500</v>
      </c>
      <c r="R69" s="34">
        <v>11600</v>
      </c>
      <c r="S69" s="91"/>
    </row>
    <row r="70" spans="1:19" ht="22.15" customHeight="1" x14ac:dyDescent="0.6">
      <c r="A70" s="32">
        <v>35</v>
      </c>
      <c r="B70" s="161"/>
      <c r="C70" s="32" t="s">
        <v>34</v>
      </c>
      <c r="D70" s="91" t="s">
        <v>347</v>
      </c>
      <c r="E70" s="34">
        <v>250000</v>
      </c>
      <c r="F70" s="34">
        <v>400000</v>
      </c>
      <c r="G70" s="36"/>
      <c r="H70" s="158">
        <v>500000</v>
      </c>
      <c r="I70" s="34"/>
      <c r="J70" s="34">
        <f t="shared" si="20"/>
        <v>494800</v>
      </c>
      <c r="K70" s="34">
        <v>226</v>
      </c>
      <c r="L70" s="34">
        <v>4</v>
      </c>
      <c r="M70" s="34">
        <v>350000</v>
      </c>
      <c r="N70" s="34">
        <v>75000</v>
      </c>
      <c r="O70" s="34">
        <f t="shared" si="21"/>
        <v>75000</v>
      </c>
      <c r="P70" s="34">
        <v>600</v>
      </c>
      <c r="Q70" s="34">
        <f t="shared" si="22"/>
        <v>58200</v>
      </c>
      <c r="R70" s="34">
        <v>11600</v>
      </c>
      <c r="S70" s="91"/>
    </row>
    <row r="71" spans="1:19" ht="22.15" customHeight="1" x14ac:dyDescent="0.6">
      <c r="A71" s="37">
        <v>36</v>
      </c>
      <c r="B71" s="162"/>
      <c r="C71" s="37" t="s">
        <v>35</v>
      </c>
      <c r="D71" s="92" t="s">
        <v>347</v>
      </c>
      <c r="E71" s="89" t="s">
        <v>352</v>
      </c>
      <c r="F71" s="39">
        <v>600000</v>
      </c>
      <c r="G71" s="45"/>
      <c r="H71" s="158">
        <v>750000</v>
      </c>
      <c r="I71" s="39"/>
      <c r="J71" s="39">
        <f t="shared" si="20"/>
        <v>718600</v>
      </c>
      <c r="K71" s="39">
        <v>226</v>
      </c>
      <c r="L71" s="39">
        <v>4</v>
      </c>
      <c r="M71" s="39">
        <v>500000</v>
      </c>
      <c r="N71" s="39">
        <v>110000</v>
      </c>
      <c r="O71" s="39">
        <f t="shared" si="21"/>
        <v>110000</v>
      </c>
      <c r="P71" s="39">
        <v>1000</v>
      </c>
      <c r="Q71" s="39">
        <f>(192-95)*P71</f>
        <v>97000</v>
      </c>
      <c r="R71" s="39">
        <v>11600</v>
      </c>
      <c r="S71" s="92"/>
    </row>
    <row r="72" spans="1:19" ht="22.15" customHeight="1" x14ac:dyDescent="0.6">
      <c r="A72" s="28">
        <v>37</v>
      </c>
      <c r="B72" s="160" t="s">
        <v>325</v>
      </c>
      <c r="C72" s="28" t="s">
        <v>4</v>
      </c>
      <c r="D72" s="30">
        <v>350000</v>
      </c>
      <c r="E72" s="30">
        <v>200000</v>
      </c>
      <c r="F72" s="30">
        <v>480000</v>
      </c>
      <c r="G72" s="31"/>
      <c r="H72" s="157">
        <v>450000</v>
      </c>
      <c r="I72" s="30">
        <f>D72*1.3</f>
        <v>455000</v>
      </c>
      <c r="J72" s="30">
        <f>M72+O72+Q72+R72</f>
        <v>337400</v>
      </c>
      <c r="K72" s="30">
        <v>262</v>
      </c>
      <c r="L72" s="30">
        <v>4</v>
      </c>
      <c r="M72" s="30">
        <v>200000</v>
      </c>
      <c r="N72" s="30">
        <v>65000</v>
      </c>
      <c r="O72" s="30">
        <f>(L72-3)*N72</f>
        <v>65000</v>
      </c>
      <c r="P72" s="30">
        <v>600</v>
      </c>
      <c r="Q72" s="30">
        <f>(192-95)*P72</f>
        <v>58200</v>
      </c>
      <c r="R72" s="30">
        <v>14200</v>
      </c>
      <c r="S72" s="30"/>
    </row>
    <row r="73" spans="1:19" ht="22.15" customHeight="1" x14ac:dyDescent="0.6">
      <c r="A73" s="32">
        <v>38</v>
      </c>
      <c r="B73" s="161"/>
      <c r="C73" s="32" t="s">
        <v>32</v>
      </c>
      <c r="D73" s="34">
        <v>320000</v>
      </c>
      <c r="E73" s="34">
        <v>200000</v>
      </c>
      <c r="F73" s="34">
        <v>400000</v>
      </c>
      <c r="G73" s="36"/>
      <c r="H73" s="158">
        <v>450000</v>
      </c>
      <c r="I73" s="34">
        <f t="shared" ref="I73:I76" si="23">D73*1.3</f>
        <v>416000</v>
      </c>
      <c r="J73" s="34">
        <f t="shared" ref="J73:J77" si="24">M73+O73+Q73+R73</f>
        <v>337400</v>
      </c>
      <c r="K73" s="34">
        <v>262</v>
      </c>
      <c r="L73" s="34">
        <v>4</v>
      </c>
      <c r="M73" s="34">
        <v>200000</v>
      </c>
      <c r="N73" s="34">
        <v>65000</v>
      </c>
      <c r="O73" s="34">
        <f>(L73-3)*N73</f>
        <v>65000</v>
      </c>
      <c r="P73" s="34">
        <v>600</v>
      </c>
      <c r="Q73" s="34">
        <f>(192-95)*P73</f>
        <v>58200</v>
      </c>
      <c r="R73" s="34">
        <v>14200</v>
      </c>
      <c r="S73" s="34"/>
    </row>
    <row r="74" spans="1:19" ht="22.15" customHeight="1" x14ac:dyDescent="0.6">
      <c r="A74" s="32">
        <v>39</v>
      </c>
      <c r="B74" s="161"/>
      <c r="C74" s="32" t="s">
        <v>33</v>
      </c>
      <c r="D74" s="34">
        <v>300000</v>
      </c>
      <c r="E74" s="34">
        <v>150000</v>
      </c>
      <c r="F74" s="34">
        <v>300000</v>
      </c>
      <c r="G74" s="36"/>
      <c r="H74" s="158">
        <v>430000</v>
      </c>
      <c r="I74" s="34">
        <f t="shared" si="23"/>
        <v>390000</v>
      </c>
      <c r="J74" s="34">
        <f t="shared" si="24"/>
        <v>312700</v>
      </c>
      <c r="K74" s="34">
        <v>262</v>
      </c>
      <c r="L74" s="34">
        <v>4</v>
      </c>
      <c r="M74" s="34">
        <v>190000</v>
      </c>
      <c r="N74" s="34">
        <v>60000</v>
      </c>
      <c r="O74" s="34">
        <f t="shared" ref="O74:O77" si="25">(L74-3)*N74</f>
        <v>60000</v>
      </c>
      <c r="P74" s="34">
        <v>500</v>
      </c>
      <c r="Q74" s="34">
        <f t="shared" ref="Q74:Q76" si="26">(192-95)*P74</f>
        <v>48500</v>
      </c>
      <c r="R74" s="34">
        <v>14200</v>
      </c>
      <c r="S74" s="34"/>
    </row>
    <row r="75" spans="1:19" ht="22.15" customHeight="1" x14ac:dyDescent="0.6">
      <c r="A75" s="32">
        <v>40</v>
      </c>
      <c r="B75" s="161"/>
      <c r="C75" s="32" t="s">
        <v>21</v>
      </c>
      <c r="D75" s="34">
        <v>270000</v>
      </c>
      <c r="E75" s="34">
        <v>150000</v>
      </c>
      <c r="F75" s="34">
        <v>300000</v>
      </c>
      <c r="G75" s="36"/>
      <c r="H75" s="158">
        <v>400000</v>
      </c>
      <c r="I75" s="34">
        <f t="shared" si="23"/>
        <v>351000</v>
      </c>
      <c r="J75" s="34">
        <f t="shared" si="24"/>
        <v>297700</v>
      </c>
      <c r="K75" s="34">
        <v>262</v>
      </c>
      <c r="L75" s="34">
        <v>4</v>
      </c>
      <c r="M75" s="34">
        <v>180000</v>
      </c>
      <c r="N75" s="34">
        <v>55000</v>
      </c>
      <c r="O75" s="34">
        <f t="shared" si="25"/>
        <v>55000</v>
      </c>
      <c r="P75" s="34">
        <v>500</v>
      </c>
      <c r="Q75" s="34">
        <f t="shared" si="26"/>
        <v>48500</v>
      </c>
      <c r="R75" s="34">
        <v>14200</v>
      </c>
      <c r="S75" s="34"/>
    </row>
    <row r="76" spans="1:19" ht="22.15" customHeight="1" x14ac:dyDescent="0.6">
      <c r="A76" s="32">
        <v>41</v>
      </c>
      <c r="B76" s="161"/>
      <c r="C76" s="32" t="s">
        <v>34</v>
      </c>
      <c r="D76" s="34">
        <v>350000</v>
      </c>
      <c r="E76" s="34">
        <v>200000</v>
      </c>
      <c r="F76" s="34">
        <v>400000</v>
      </c>
      <c r="G76" s="36"/>
      <c r="H76" s="158">
        <v>550000</v>
      </c>
      <c r="I76" s="34">
        <f t="shared" si="23"/>
        <v>455000</v>
      </c>
      <c r="J76" s="34">
        <f t="shared" si="24"/>
        <v>497400</v>
      </c>
      <c r="K76" s="34">
        <v>262</v>
      </c>
      <c r="L76" s="34">
        <v>4</v>
      </c>
      <c r="M76" s="34">
        <v>350000</v>
      </c>
      <c r="N76" s="34">
        <v>75000</v>
      </c>
      <c r="O76" s="34">
        <f t="shared" si="25"/>
        <v>75000</v>
      </c>
      <c r="P76" s="34">
        <v>600</v>
      </c>
      <c r="Q76" s="34">
        <f t="shared" si="26"/>
        <v>58200</v>
      </c>
      <c r="R76" s="34">
        <v>14200</v>
      </c>
      <c r="S76" s="34"/>
    </row>
    <row r="77" spans="1:19" ht="22.15" customHeight="1" x14ac:dyDescent="0.6">
      <c r="A77" s="37">
        <v>42</v>
      </c>
      <c r="B77" s="162"/>
      <c r="C77" s="37" t="s">
        <v>35</v>
      </c>
      <c r="D77" s="92" t="s">
        <v>347</v>
      </c>
      <c r="E77" s="89" t="s">
        <v>350</v>
      </c>
      <c r="F77" s="39">
        <v>600000</v>
      </c>
      <c r="G77" s="45"/>
      <c r="H77" s="158">
        <v>800000</v>
      </c>
      <c r="I77" s="39"/>
      <c r="J77" s="39">
        <f t="shared" si="24"/>
        <v>721200</v>
      </c>
      <c r="K77" s="39">
        <v>262</v>
      </c>
      <c r="L77" s="39">
        <v>4</v>
      </c>
      <c r="M77" s="39">
        <v>500000</v>
      </c>
      <c r="N77" s="39">
        <v>110000</v>
      </c>
      <c r="O77" s="39">
        <f t="shared" si="25"/>
        <v>110000</v>
      </c>
      <c r="P77" s="39">
        <v>1000</v>
      </c>
      <c r="Q77" s="39">
        <f>(192-95)*P77</f>
        <v>97000</v>
      </c>
      <c r="R77" s="39">
        <v>14200</v>
      </c>
      <c r="S77" s="92"/>
    </row>
    <row r="78" spans="1:19" ht="22.15" customHeight="1" x14ac:dyDescent="0.6">
      <c r="A78" s="28">
        <v>43</v>
      </c>
      <c r="B78" s="160" t="s">
        <v>327</v>
      </c>
      <c r="C78" s="28" t="s">
        <v>4</v>
      </c>
      <c r="D78" s="30">
        <v>300000</v>
      </c>
      <c r="E78" s="90" t="s">
        <v>347</v>
      </c>
      <c r="F78" s="30">
        <v>480000</v>
      </c>
      <c r="G78" s="31"/>
      <c r="H78" s="157">
        <v>400000</v>
      </c>
      <c r="I78" s="30">
        <f>D78*1.3</f>
        <v>390000</v>
      </c>
      <c r="J78" s="30">
        <f>M78+O78+Q78+R78</f>
        <v>336800</v>
      </c>
      <c r="K78" s="30">
        <v>228</v>
      </c>
      <c r="L78" s="30">
        <v>4</v>
      </c>
      <c r="M78" s="30">
        <v>200000</v>
      </c>
      <c r="N78" s="30">
        <v>65000</v>
      </c>
      <c r="O78" s="30">
        <f>(L78-3)*N78</f>
        <v>65000</v>
      </c>
      <c r="P78" s="30">
        <v>600</v>
      </c>
      <c r="Q78" s="30">
        <f>(192-95)*P78</f>
        <v>58200</v>
      </c>
      <c r="R78" s="30">
        <v>13600</v>
      </c>
      <c r="S78" s="30"/>
    </row>
    <row r="79" spans="1:19" ht="22.15" customHeight="1" x14ac:dyDescent="0.6">
      <c r="A79" s="32">
        <v>44</v>
      </c>
      <c r="B79" s="161"/>
      <c r="C79" s="32" t="s">
        <v>32</v>
      </c>
      <c r="D79" s="34">
        <v>270000</v>
      </c>
      <c r="E79" s="91" t="s">
        <v>347</v>
      </c>
      <c r="F79" s="34">
        <v>400000</v>
      </c>
      <c r="G79" s="36"/>
      <c r="H79" s="158">
        <v>400000</v>
      </c>
      <c r="I79" s="34">
        <f t="shared" ref="I79:I82" si="27">D79*1.3</f>
        <v>351000</v>
      </c>
      <c r="J79" s="34">
        <f t="shared" ref="J79:J83" si="28">M79+O79+Q79+R79</f>
        <v>336800</v>
      </c>
      <c r="K79" s="34">
        <v>228</v>
      </c>
      <c r="L79" s="34">
        <v>4</v>
      </c>
      <c r="M79" s="34">
        <v>200000</v>
      </c>
      <c r="N79" s="34">
        <v>65000</v>
      </c>
      <c r="O79" s="34">
        <f>(L79-3)*N79</f>
        <v>65000</v>
      </c>
      <c r="P79" s="34">
        <v>600</v>
      </c>
      <c r="Q79" s="34">
        <f>(192-95)*P79</f>
        <v>58200</v>
      </c>
      <c r="R79" s="34">
        <v>13600</v>
      </c>
      <c r="S79" s="34"/>
    </row>
    <row r="80" spans="1:19" ht="22.15" customHeight="1" x14ac:dyDescent="0.6">
      <c r="A80" s="32">
        <v>45</v>
      </c>
      <c r="B80" s="161"/>
      <c r="C80" s="32" t="s">
        <v>33</v>
      </c>
      <c r="D80" s="34">
        <v>250000</v>
      </c>
      <c r="E80" s="91" t="s">
        <v>347</v>
      </c>
      <c r="F80" s="34">
        <v>300000</v>
      </c>
      <c r="G80" s="36"/>
      <c r="H80" s="158">
        <v>380000</v>
      </c>
      <c r="I80" s="34">
        <f t="shared" si="27"/>
        <v>325000</v>
      </c>
      <c r="J80" s="34">
        <f t="shared" si="28"/>
        <v>312100</v>
      </c>
      <c r="K80" s="34">
        <v>228</v>
      </c>
      <c r="L80" s="34">
        <v>4</v>
      </c>
      <c r="M80" s="34">
        <v>190000</v>
      </c>
      <c r="N80" s="34">
        <v>60000</v>
      </c>
      <c r="O80" s="34">
        <f t="shared" ref="O80:O83" si="29">(L80-3)*N80</f>
        <v>60000</v>
      </c>
      <c r="P80" s="34">
        <v>500</v>
      </c>
      <c r="Q80" s="34">
        <f t="shared" ref="Q80:Q82" si="30">(192-95)*P80</f>
        <v>48500</v>
      </c>
      <c r="R80" s="34">
        <v>13600</v>
      </c>
      <c r="S80" s="34"/>
    </row>
    <row r="81" spans="1:19" ht="22.15" customHeight="1" x14ac:dyDescent="0.6">
      <c r="A81" s="32">
        <v>46</v>
      </c>
      <c r="B81" s="161"/>
      <c r="C81" s="32" t="s">
        <v>21</v>
      </c>
      <c r="D81" s="34">
        <v>230000</v>
      </c>
      <c r="E81" s="91" t="s">
        <v>347</v>
      </c>
      <c r="F81" s="34">
        <v>300000</v>
      </c>
      <c r="G81" s="36"/>
      <c r="H81" s="158">
        <v>350000</v>
      </c>
      <c r="I81" s="34">
        <f t="shared" si="27"/>
        <v>299000</v>
      </c>
      <c r="J81" s="34">
        <f t="shared" si="28"/>
        <v>297100</v>
      </c>
      <c r="K81" s="34">
        <v>228</v>
      </c>
      <c r="L81" s="34">
        <v>4</v>
      </c>
      <c r="M81" s="34">
        <v>180000</v>
      </c>
      <c r="N81" s="34">
        <v>55000</v>
      </c>
      <c r="O81" s="34">
        <f t="shared" si="29"/>
        <v>55000</v>
      </c>
      <c r="P81" s="34">
        <v>500</v>
      </c>
      <c r="Q81" s="34">
        <f t="shared" si="30"/>
        <v>48500</v>
      </c>
      <c r="R81" s="34">
        <v>13600</v>
      </c>
      <c r="S81" s="34"/>
    </row>
    <row r="82" spans="1:19" ht="22.15" customHeight="1" x14ac:dyDescent="0.6">
      <c r="A82" s="32">
        <v>47</v>
      </c>
      <c r="B82" s="161"/>
      <c r="C82" s="32" t="s">
        <v>34</v>
      </c>
      <c r="D82" s="34">
        <v>300000</v>
      </c>
      <c r="E82" s="91" t="s">
        <v>347</v>
      </c>
      <c r="F82" s="34">
        <v>400000</v>
      </c>
      <c r="G82" s="36"/>
      <c r="H82" s="158">
        <v>500000</v>
      </c>
      <c r="I82" s="34">
        <f t="shared" si="27"/>
        <v>390000</v>
      </c>
      <c r="J82" s="34">
        <f t="shared" si="28"/>
        <v>496800</v>
      </c>
      <c r="K82" s="34">
        <v>228</v>
      </c>
      <c r="L82" s="34">
        <v>4</v>
      </c>
      <c r="M82" s="34">
        <v>350000</v>
      </c>
      <c r="N82" s="34">
        <v>75000</v>
      </c>
      <c r="O82" s="34">
        <f t="shared" si="29"/>
        <v>75000</v>
      </c>
      <c r="P82" s="34">
        <v>600</v>
      </c>
      <c r="Q82" s="34">
        <f t="shared" si="30"/>
        <v>58200</v>
      </c>
      <c r="R82" s="34">
        <v>13600</v>
      </c>
      <c r="S82" s="34"/>
    </row>
    <row r="83" spans="1:19" ht="22.15" customHeight="1" x14ac:dyDescent="0.6">
      <c r="A83" s="37">
        <v>48</v>
      </c>
      <c r="B83" s="162"/>
      <c r="C83" s="37" t="s">
        <v>35</v>
      </c>
      <c r="D83" s="92" t="s">
        <v>347</v>
      </c>
      <c r="E83" s="92" t="s">
        <v>347</v>
      </c>
      <c r="F83" s="39">
        <v>600000</v>
      </c>
      <c r="G83" s="45"/>
      <c r="H83" s="159">
        <v>750000</v>
      </c>
      <c r="I83" s="39"/>
      <c r="J83" s="39">
        <f t="shared" si="28"/>
        <v>720600</v>
      </c>
      <c r="K83" s="39">
        <v>228</v>
      </c>
      <c r="L83" s="39">
        <v>4</v>
      </c>
      <c r="M83" s="39">
        <v>500000</v>
      </c>
      <c r="N83" s="39">
        <v>110000</v>
      </c>
      <c r="O83" s="39">
        <f t="shared" si="29"/>
        <v>110000</v>
      </c>
      <c r="P83" s="39">
        <v>1000</v>
      </c>
      <c r="Q83" s="39">
        <f>(192-95)*P83</f>
        <v>97000</v>
      </c>
      <c r="R83" s="39">
        <v>13600</v>
      </c>
      <c r="S83" s="92"/>
    </row>
    <row r="84" spans="1:19" ht="22.15" customHeight="1" x14ac:dyDescent="0.6"/>
    <row r="85" spans="1:19" ht="22.15" customHeight="1" x14ac:dyDescent="0.6"/>
    <row r="86" spans="1:19" ht="22.15" customHeight="1" x14ac:dyDescent="0.6"/>
    <row r="87" spans="1:19" ht="22.15" customHeight="1" x14ac:dyDescent="0.6"/>
    <row r="88" spans="1:19" ht="22.15" customHeight="1" x14ac:dyDescent="0.6"/>
    <row r="89" spans="1:19" ht="22.15" customHeight="1" x14ac:dyDescent="0.6"/>
    <row r="90" spans="1:19" ht="22.15" customHeight="1" x14ac:dyDescent="0.6"/>
    <row r="91" spans="1:19" ht="22.15" customHeight="1" x14ac:dyDescent="0.6"/>
    <row r="92" spans="1:19" s="25" customFormat="1" ht="22.15" customHeight="1" x14ac:dyDescent="0.6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</sheetData>
  <mergeCells count="13">
    <mergeCell ref="B78:B83"/>
    <mergeCell ref="B42:B47"/>
    <mergeCell ref="B48:B53"/>
    <mergeCell ref="B54:B59"/>
    <mergeCell ref="B60:B65"/>
    <mergeCell ref="B66:B71"/>
    <mergeCell ref="B72:B77"/>
    <mergeCell ref="B36:B41"/>
    <mergeCell ref="B3:B8"/>
    <mergeCell ref="B9:B14"/>
    <mergeCell ref="B15:B20"/>
    <mergeCell ref="B21:B26"/>
    <mergeCell ref="B27:B32"/>
  </mergeCells>
  <phoneticPr fontId="2" type="noConversion"/>
  <pageMargins left="0.25" right="0.25" top="0.75" bottom="0.75" header="0.3" footer="0.3"/>
  <pageSetup paperSize="9" scale="6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1AA21-BC93-48A3-95A4-0F560BB13DA0}">
  <dimension ref="A1:V71"/>
  <sheetViews>
    <sheetView tabSelected="1" workbookViewId="0">
      <pane ySplit="2" topLeftCell="A33" activePane="bottomLeft" state="frozen"/>
      <selection pane="bottomLeft" activeCell="J31" sqref="J31"/>
    </sheetView>
  </sheetViews>
  <sheetFormatPr defaultRowHeight="16.899999999999999" x14ac:dyDescent="0.6"/>
  <cols>
    <col min="1" max="1" width="4.4375" customWidth="1"/>
    <col min="3" max="3" width="14.375" bestFit="1" customWidth="1"/>
    <col min="5" max="8" width="14.625" customWidth="1"/>
    <col min="9" max="9" width="20.5625" customWidth="1"/>
    <col min="10" max="13" width="14.5625" customWidth="1"/>
    <col min="14" max="22" width="10.5625" customWidth="1"/>
  </cols>
  <sheetData>
    <row r="1" spans="1:22" s="93" customFormat="1" ht="20.100000000000001" customHeight="1" x14ac:dyDescent="0.6">
      <c r="D1" s="94" t="s">
        <v>353</v>
      </c>
      <c r="J1" s="149" t="s">
        <v>455</v>
      </c>
      <c r="K1" s="149"/>
      <c r="L1" s="149">
        <v>0.3</v>
      </c>
      <c r="M1" s="82"/>
      <c r="N1" s="82"/>
      <c r="O1" s="82"/>
      <c r="P1" s="82" t="s">
        <v>445</v>
      </c>
      <c r="Q1" s="82" t="s">
        <v>446</v>
      </c>
      <c r="R1" s="82"/>
      <c r="S1" s="82"/>
      <c r="T1" s="82"/>
      <c r="U1" s="82"/>
      <c r="V1" s="82"/>
    </row>
    <row r="2" spans="1:22" s="93" customFormat="1" ht="20.100000000000001" customHeight="1" x14ac:dyDescent="0.6">
      <c r="A2" s="95" t="s">
        <v>354</v>
      </c>
      <c r="B2" s="95" t="s">
        <v>355</v>
      </c>
      <c r="C2" s="95" t="s">
        <v>356</v>
      </c>
      <c r="D2" s="95" t="s">
        <v>357</v>
      </c>
      <c r="E2" s="95" t="s">
        <v>358</v>
      </c>
      <c r="F2" s="95" t="s">
        <v>359</v>
      </c>
      <c r="G2" s="95" t="s">
        <v>360</v>
      </c>
      <c r="H2" s="95" t="s">
        <v>361</v>
      </c>
      <c r="I2" s="95" t="s">
        <v>76</v>
      </c>
      <c r="J2" s="148" t="s">
        <v>443</v>
      </c>
      <c r="K2" s="185" t="s">
        <v>458</v>
      </c>
      <c r="L2" s="150" t="s">
        <v>450</v>
      </c>
      <c r="M2" s="151" t="s">
        <v>449</v>
      </c>
      <c r="N2" s="152" t="s">
        <v>439</v>
      </c>
      <c r="O2" s="151" t="s">
        <v>444</v>
      </c>
      <c r="P2" s="151" t="s">
        <v>442</v>
      </c>
      <c r="Q2" s="151" t="s">
        <v>447</v>
      </c>
      <c r="R2" s="151"/>
      <c r="S2" s="151" t="s">
        <v>448</v>
      </c>
      <c r="T2" s="151"/>
      <c r="U2" s="151" t="s">
        <v>440</v>
      </c>
      <c r="V2" s="151" t="s">
        <v>441</v>
      </c>
    </row>
    <row r="3" spans="1:22" s="93" customFormat="1" ht="20.100000000000001" customHeight="1" x14ac:dyDescent="0.6">
      <c r="A3" s="96">
        <v>1</v>
      </c>
      <c r="B3" s="96" t="s">
        <v>362</v>
      </c>
      <c r="C3" s="96" t="s">
        <v>363</v>
      </c>
      <c r="D3" s="96">
        <v>60</v>
      </c>
      <c r="E3" s="97">
        <v>100000</v>
      </c>
      <c r="F3" s="97">
        <v>80000</v>
      </c>
      <c r="G3" s="97">
        <v>75000</v>
      </c>
      <c r="H3" s="97">
        <v>0</v>
      </c>
      <c r="I3" s="96" t="s">
        <v>454</v>
      </c>
      <c r="J3" s="157">
        <v>170000</v>
      </c>
      <c r="K3" s="157">
        <f>J3-170000</f>
        <v>0</v>
      </c>
      <c r="L3" s="30">
        <f>E3*1.3</f>
        <v>130000</v>
      </c>
      <c r="M3" s="30">
        <f>P3+R3+T3+U3</f>
        <v>0</v>
      </c>
      <c r="N3" s="30"/>
      <c r="O3" s="30"/>
      <c r="P3" s="30"/>
      <c r="Q3" s="30"/>
      <c r="R3" s="30">
        <f>(O3-3)*Q3</f>
        <v>0</v>
      </c>
      <c r="S3" s="30"/>
      <c r="T3" s="30">
        <f>(192-95)*S3</f>
        <v>0</v>
      </c>
      <c r="U3" s="30"/>
      <c r="V3" s="30"/>
    </row>
    <row r="4" spans="1:22" s="93" customFormat="1" ht="20.100000000000001" customHeight="1" x14ac:dyDescent="0.6">
      <c r="A4" s="100"/>
      <c r="B4" s="100" t="s">
        <v>364</v>
      </c>
      <c r="C4" s="100" t="s">
        <v>378</v>
      </c>
      <c r="D4" s="100">
        <v>30</v>
      </c>
      <c r="E4" s="101">
        <v>100000</v>
      </c>
      <c r="F4" s="101">
        <v>80000</v>
      </c>
      <c r="G4" s="101">
        <v>90000</v>
      </c>
      <c r="H4" s="101"/>
      <c r="I4" s="100" t="s">
        <v>454</v>
      </c>
      <c r="J4" s="157">
        <v>170000</v>
      </c>
      <c r="K4" s="157">
        <f t="shared" ref="K4:K67" si="0">J4-170000</f>
        <v>0</v>
      </c>
      <c r="L4" s="30">
        <f>E4*1.3</f>
        <v>130000</v>
      </c>
    </row>
    <row r="5" spans="1:22" s="93" customFormat="1" ht="20.100000000000001" customHeight="1" x14ac:dyDescent="0.6">
      <c r="A5" s="100"/>
      <c r="B5" s="100" t="s">
        <v>364</v>
      </c>
      <c r="C5" s="100" t="s">
        <v>368</v>
      </c>
      <c r="D5" s="100">
        <v>35</v>
      </c>
      <c r="E5" s="101">
        <v>100000</v>
      </c>
      <c r="F5" s="101">
        <v>80000</v>
      </c>
      <c r="G5" s="101">
        <v>90000</v>
      </c>
      <c r="H5" s="101"/>
      <c r="I5" s="100" t="s">
        <v>454</v>
      </c>
      <c r="J5" s="157">
        <v>170000</v>
      </c>
      <c r="K5" s="157">
        <f t="shared" si="0"/>
        <v>0</v>
      </c>
      <c r="L5" s="30">
        <f>E5*1.3</f>
        <v>130000</v>
      </c>
    </row>
    <row r="6" spans="1:22" s="93" customFormat="1" ht="20.100000000000001" customHeight="1" x14ac:dyDescent="0.6">
      <c r="A6" s="100"/>
      <c r="B6" s="100" t="s">
        <v>364</v>
      </c>
      <c r="C6" s="100" t="s">
        <v>377</v>
      </c>
      <c r="D6" s="100">
        <v>40</v>
      </c>
      <c r="E6" s="101">
        <v>100000</v>
      </c>
      <c r="F6" s="101">
        <v>80000</v>
      </c>
      <c r="G6" s="101">
        <v>90000</v>
      </c>
      <c r="H6" s="101"/>
      <c r="I6" s="100" t="s">
        <v>454</v>
      </c>
      <c r="J6" s="157">
        <v>170000</v>
      </c>
      <c r="K6" s="157">
        <f t="shared" si="0"/>
        <v>0</v>
      </c>
      <c r="L6" s="30">
        <f>E6*1.3</f>
        <v>130000</v>
      </c>
    </row>
    <row r="7" spans="1:22" s="93" customFormat="1" ht="20.100000000000001" customHeight="1" x14ac:dyDescent="0.6">
      <c r="A7" s="100"/>
      <c r="B7" s="100" t="s">
        <v>364</v>
      </c>
      <c r="C7" s="100" t="s">
        <v>366</v>
      </c>
      <c r="D7" s="100">
        <v>45</v>
      </c>
      <c r="E7" s="101">
        <v>100000</v>
      </c>
      <c r="F7" s="101">
        <v>80000</v>
      </c>
      <c r="G7" s="101">
        <v>90000</v>
      </c>
      <c r="H7" s="101"/>
      <c r="I7" s="100" t="s">
        <v>454</v>
      </c>
      <c r="J7" s="157">
        <v>170000</v>
      </c>
      <c r="K7" s="157">
        <f t="shared" si="0"/>
        <v>0</v>
      </c>
      <c r="L7" s="30">
        <f t="shared" ref="L7:L66" si="1">E7*1.3</f>
        <v>130000</v>
      </c>
    </row>
    <row r="8" spans="1:22" s="93" customFormat="1" ht="20.100000000000001" customHeight="1" x14ac:dyDescent="0.6">
      <c r="A8" s="100"/>
      <c r="B8" s="100" t="s">
        <v>364</v>
      </c>
      <c r="C8" s="100" t="s">
        <v>367</v>
      </c>
      <c r="D8" s="100">
        <v>45</v>
      </c>
      <c r="E8" s="101">
        <v>100000</v>
      </c>
      <c r="F8" s="101">
        <v>80000</v>
      </c>
      <c r="G8" s="101">
        <v>90000</v>
      </c>
      <c r="H8" s="101"/>
      <c r="I8" s="100" t="s">
        <v>454</v>
      </c>
      <c r="J8" s="157">
        <v>170000</v>
      </c>
      <c r="K8" s="157">
        <f t="shared" si="0"/>
        <v>0</v>
      </c>
      <c r="L8" s="30">
        <f t="shared" si="1"/>
        <v>130000</v>
      </c>
    </row>
    <row r="9" spans="1:22" s="93" customFormat="1" ht="20.100000000000001" customHeight="1" x14ac:dyDescent="0.6">
      <c r="A9" s="98"/>
      <c r="B9" s="98" t="s">
        <v>364</v>
      </c>
      <c r="C9" s="98" t="s">
        <v>365</v>
      </c>
      <c r="D9" s="98">
        <v>47</v>
      </c>
      <c r="E9" s="99">
        <v>100000</v>
      </c>
      <c r="F9" s="99">
        <v>80000</v>
      </c>
      <c r="G9" s="99">
        <v>90000</v>
      </c>
      <c r="H9" s="99"/>
      <c r="I9" s="98" t="s">
        <v>454</v>
      </c>
      <c r="J9" s="157">
        <v>170000</v>
      </c>
      <c r="K9" s="157">
        <f t="shared" si="0"/>
        <v>0</v>
      </c>
      <c r="L9" s="30">
        <f>E9*1.3</f>
        <v>130000</v>
      </c>
    </row>
    <row r="10" spans="1:22" s="93" customFormat="1" ht="20.100000000000001" customHeight="1" x14ac:dyDescent="0.6">
      <c r="A10" s="100"/>
      <c r="B10" s="100" t="s">
        <v>364</v>
      </c>
      <c r="C10" s="179" t="s">
        <v>380</v>
      </c>
      <c r="D10" s="179">
        <v>52</v>
      </c>
      <c r="E10" s="180">
        <v>110000</v>
      </c>
      <c r="F10" s="101">
        <v>90000</v>
      </c>
      <c r="G10" s="101">
        <v>100000</v>
      </c>
      <c r="H10" s="101"/>
      <c r="I10" s="100" t="s">
        <v>457</v>
      </c>
      <c r="J10" s="184">
        <v>200000</v>
      </c>
      <c r="K10" s="184">
        <f t="shared" si="0"/>
        <v>30000</v>
      </c>
      <c r="L10" s="30">
        <f>E10*1.3</f>
        <v>143000</v>
      </c>
    </row>
    <row r="11" spans="1:22" s="93" customFormat="1" ht="20.100000000000001" customHeight="1" x14ac:dyDescent="0.6">
      <c r="A11" s="100"/>
      <c r="B11" s="100" t="s">
        <v>364</v>
      </c>
      <c r="C11" s="100" t="s">
        <v>369</v>
      </c>
      <c r="D11" s="100">
        <v>55</v>
      </c>
      <c r="E11" s="101">
        <v>100000</v>
      </c>
      <c r="F11" s="101">
        <v>80000</v>
      </c>
      <c r="G11" s="101">
        <v>90000</v>
      </c>
      <c r="H11" s="101"/>
      <c r="I11" s="100" t="s">
        <v>454</v>
      </c>
      <c r="J11" s="157">
        <v>170000</v>
      </c>
      <c r="K11" s="157">
        <f t="shared" si="0"/>
        <v>0</v>
      </c>
      <c r="L11" s="30">
        <f t="shared" si="1"/>
        <v>130000</v>
      </c>
    </row>
    <row r="12" spans="1:22" s="93" customFormat="1" ht="20.100000000000001" customHeight="1" x14ac:dyDescent="0.6">
      <c r="A12" s="100"/>
      <c r="B12" s="100" t="s">
        <v>364</v>
      </c>
      <c r="C12" s="100" t="s">
        <v>370</v>
      </c>
      <c r="D12" s="100">
        <v>55</v>
      </c>
      <c r="E12" s="101">
        <v>100000</v>
      </c>
      <c r="F12" s="101">
        <v>80000</v>
      </c>
      <c r="G12" s="101">
        <v>90000</v>
      </c>
      <c r="H12" s="101"/>
      <c r="I12" s="100" t="s">
        <v>454</v>
      </c>
      <c r="J12" s="157">
        <v>170000</v>
      </c>
      <c r="K12" s="157">
        <f t="shared" si="0"/>
        <v>0</v>
      </c>
      <c r="L12" s="30">
        <f t="shared" si="1"/>
        <v>130000</v>
      </c>
    </row>
    <row r="13" spans="1:22" s="93" customFormat="1" ht="20.100000000000001" customHeight="1" x14ac:dyDescent="0.6">
      <c r="A13" s="100"/>
      <c r="B13" s="100" t="s">
        <v>364</v>
      </c>
      <c r="C13" s="179" t="s">
        <v>379</v>
      </c>
      <c r="D13" s="179">
        <v>58</v>
      </c>
      <c r="E13" s="180">
        <v>120000</v>
      </c>
      <c r="F13" s="101">
        <v>100000</v>
      </c>
      <c r="G13" s="101">
        <v>110000</v>
      </c>
      <c r="H13" s="101"/>
      <c r="I13" s="100" t="s">
        <v>457</v>
      </c>
      <c r="J13" s="184">
        <v>200000</v>
      </c>
      <c r="K13" s="184">
        <f t="shared" si="0"/>
        <v>30000</v>
      </c>
      <c r="L13" s="30">
        <f>E13*1.3</f>
        <v>156000</v>
      </c>
    </row>
    <row r="14" spans="1:22" s="93" customFormat="1" ht="20.100000000000001" customHeight="1" x14ac:dyDescent="0.6">
      <c r="A14" s="100"/>
      <c r="B14" s="100" t="s">
        <v>364</v>
      </c>
      <c r="C14" s="100" t="s">
        <v>371</v>
      </c>
      <c r="D14" s="100">
        <v>60</v>
      </c>
      <c r="E14" s="101">
        <v>100000</v>
      </c>
      <c r="F14" s="101">
        <v>80000</v>
      </c>
      <c r="G14" s="101">
        <v>90000</v>
      </c>
      <c r="H14" s="101"/>
      <c r="I14" s="100" t="s">
        <v>454</v>
      </c>
      <c r="J14" s="157">
        <v>170000</v>
      </c>
      <c r="K14" s="157">
        <f t="shared" si="0"/>
        <v>0</v>
      </c>
      <c r="L14" s="30">
        <f t="shared" si="1"/>
        <v>130000</v>
      </c>
    </row>
    <row r="15" spans="1:22" s="93" customFormat="1" ht="20.100000000000001" customHeight="1" x14ac:dyDescent="0.6">
      <c r="A15" s="100"/>
      <c r="B15" s="100" t="s">
        <v>364</v>
      </c>
      <c r="C15" s="100" t="s">
        <v>372</v>
      </c>
      <c r="D15" s="100">
        <v>60</v>
      </c>
      <c r="E15" s="101">
        <v>100000</v>
      </c>
      <c r="F15" s="101">
        <v>80000</v>
      </c>
      <c r="G15" s="101">
        <v>90000</v>
      </c>
      <c r="H15" s="101"/>
      <c r="I15" s="100" t="s">
        <v>454</v>
      </c>
      <c r="J15" s="157">
        <v>170000</v>
      </c>
      <c r="K15" s="157">
        <f t="shared" si="0"/>
        <v>0</v>
      </c>
      <c r="L15" s="30">
        <f t="shared" si="1"/>
        <v>130000</v>
      </c>
    </row>
    <row r="16" spans="1:22" s="93" customFormat="1" ht="20.100000000000001" customHeight="1" x14ac:dyDescent="0.6">
      <c r="A16" s="100"/>
      <c r="B16" s="100" t="s">
        <v>364</v>
      </c>
      <c r="C16" s="166" t="s">
        <v>376</v>
      </c>
      <c r="D16" s="166">
        <v>65</v>
      </c>
      <c r="E16" s="182">
        <v>110000</v>
      </c>
      <c r="F16" s="101">
        <v>90000</v>
      </c>
      <c r="G16" s="101">
        <v>90000</v>
      </c>
      <c r="H16" s="101"/>
      <c r="I16" s="166" t="s">
        <v>459</v>
      </c>
      <c r="J16" s="183">
        <v>200000</v>
      </c>
      <c r="K16" s="183">
        <f t="shared" si="0"/>
        <v>30000</v>
      </c>
      <c r="L16" s="30">
        <f>E16*1.3</f>
        <v>143000</v>
      </c>
    </row>
    <row r="17" spans="1:12" s="93" customFormat="1" ht="20.100000000000001" customHeight="1" x14ac:dyDescent="0.6">
      <c r="A17" s="100"/>
      <c r="B17" s="100" t="s">
        <v>364</v>
      </c>
      <c r="C17" s="179" t="s">
        <v>387</v>
      </c>
      <c r="D17" s="179">
        <v>65</v>
      </c>
      <c r="E17" s="180">
        <v>110000</v>
      </c>
      <c r="F17" s="101">
        <v>80000</v>
      </c>
      <c r="G17" s="101">
        <v>100000</v>
      </c>
      <c r="H17" s="101"/>
      <c r="I17" s="100" t="s">
        <v>457</v>
      </c>
      <c r="J17" s="184">
        <v>200000</v>
      </c>
      <c r="K17" s="184">
        <f t="shared" si="0"/>
        <v>30000</v>
      </c>
      <c r="L17" s="30">
        <f>E17*1.3</f>
        <v>143000</v>
      </c>
    </row>
    <row r="18" spans="1:12" s="93" customFormat="1" ht="20.100000000000001" customHeight="1" x14ac:dyDescent="0.6">
      <c r="A18" s="100"/>
      <c r="B18" s="100" t="s">
        <v>364</v>
      </c>
      <c r="C18" s="179" t="s">
        <v>381</v>
      </c>
      <c r="D18" s="179">
        <v>67</v>
      </c>
      <c r="E18" s="180">
        <v>120000</v>
      </c>
      <c r="F18" s="101">
        <v>100000</v>
      </c>
      <c r="G18" s="101">
        <v>100000</v>
      </c>
      <c r="H18" s="101"/>
      <c r="I18" s="100" t="s">
        <v>457</v>
      </c>
      <c r="J18" s="184">
        <v>200000</v>
      </c>
      <c r="K18" s="184">
        <f t="shared" si="0"/>
        <v>30000</v>
      </c>
      <c r="L18" s="30">
        <f>E18*1.3</f>
        <v>156000</v>
      </c>
    </row>
    <row r="19" spans="1:12" s="93" customFormat="1" ht="20.100000000000001" customHeight="1" x14ac:dyDescent="0.6">
      <c r="A19" s="100"/>
      <c r="B19" s="100" t="s">
        <v>364</v>
      </c>
      <c r="C19" s="179" t="s">
        <v>373</v>
      </c>
      <c r="D19" s="179">
        <v>75</v>
      </c>
      <c r="E19" s="180">
        <v>110000</v>
      </c>
      <c r="F19" s="101">
        <v>90000</v>
      </c>
      <c r="G19" s="101">
        <v>90000</v>
      </c>
      <c r="H19" s="101"/>
      <c r="I19" s="100" t="s">
        <v>457</v>
      </c>
      <c r="J19" s="184">
        <v>200000</v>
      </c>
      <c r="K19" s="184">
        <f t="shared" si="0"/>
        <v>30000</v>
      </c>
      <c r="L19" s="30">
        <f t="shared" si="1"/>
        <v>143000</v>
      </c>
    </row>
    <row r="20" spans="1:12" s="93" customFormat="1" ht="20.100000000000001" customHeight="1" x14ac:dyDescent="0.6">
      <c r="A20" s="100"/>
      <c r="B20" s="100" t="s">
        <v>364</v>
      </c>
      <c r="C20" s="179" t="s">
        <v>374</v>
      </c>
      <c r="D20" s="179">
        <v>75</v>
      </c>
      <c r="E20" s="180">
        <v>110000</v>
      </c>
      <c r="F20" s="101">
        <v>90000</v>
      </c>
      <c r="G20" s="101">
        <v>90000</v>
      </c>
      <c r="H20" s="101"/>
      <c r="I20" s="100" t="s">
        <v>457</v>
      </c>
      <c r="J20" s="184">
        <v>200000</v>
      </c>
      <c r="K20" s="184">
        <f t="shared" si="0"/>
        <v>30000</v>
      </c>
      <c r="L20" s="30">
        <f t="shared" si="1"/>
        <v>143000</v>
      </c>
    </row>
    <row r="21" spans="1:12" s="93" customFormat="1" ht="20.100000000000001" customHeight="1" x14ac:dyDescent="0.6">
      <c r="A21" s="100"/>
      <c r="B21" s="100" t="s">
        <v>364</v>
      </c>
      <c r="C21" s="186" t="s">
        <v>385</v>
      </c>
      <c r="D21" s="186">
        <v>75</v>
      </c>
      <c r="E21" s="187">
        <v>120000</v>
      </c>
      <c r="F21" s="101">
        <v>110000</v>
      </c>
      <c r="G21" s="101">
        <v>110000</v>
      </c>
      <c r="H21" s="101"/>
      <c r="I21" s="100"/>
      <c r="J21" s="188">
        <v>220000</v>
      </c>
      <c r="K21" s="188">
        <f t="shared" si="0"/>
        <v>50000</v>
      </c>
      <c r="L21" s="30">
        <f>E21*1.3</f>
        <v>156000</v>
      </c>
    </row>
    <row r="22" spans="1:12" s="93" customFormat="1" ht="20.100000000000001" customHeight="1" x14ac:dyDescent="0.6">
      <c r="A22" s="100"/>
      <c r="B22" s="100" t="s">
        <v>364</v>
      </c>
      <c r="C22" s="179" t="s">
        <v>388</v>
      </c>
      <c r="D22" s="179">
        <v>80</v>
      </c>
      <c r="E22" s="180">
        <v>120000</v>
      </c>
      <c r="F22" s="101">
        <v>100000</v>
      </c>
      <c r="G22" s="101">
        <v>90000</v>
      </c>
      <c r="H22" s="101"/>
      <c r="I22" s="100" t="s">
        <v>457</v>
      </c>
      <c r="J22" s="184">
        <v>200000</v>
      </c>
      <c r="K22" s="184">
        <f t="shared" si="0"/>
        <v>30000</v>
      </c>
      <c r="L22" s="30">
        <f>E22*1.3</f>
        <v>156000</v>
      </c>
    </row>
    <row r="23" spans="1:12" s="93" customFormat="1" ht="20.100000000000001" customHeight="1" x14ac:dyDescent="0.6">
      <c r="A23" s="100"/>
      <c r="B23" s="100" t="s">
        <v>364</v>
      </c>
      <c r="C23" s="186" t="s">
        <v>383</v>
      </c>
      <c r="D23" s="186">
        <v>80</v>
      </c>
      <c r="E23" s="187">
        <v>130000</v>
      </c>
      <c r="F23" s="101">
        <v>120000</v>
      </c>
      <c r="G23" s="101">
        <v>110000</v>
      </c>
      <c r="H23" s="101"/>
      <c r="I23" s="100"/>
      <c r="J23" s="188">
        <v>220000</v>
      </c>
      <c r="K23" s="188">
        <f t="shared" si="0"/>
        <v>50000</v>
      </c>
      <c r="L23" s="30">
        <f>E23*1.3</f>
        <v>169000</v>
      </c>
    </row>
    <row r="24" spans="1:12" s="93" customFormat="1" ht="20.100000000000001" customHeight="1" x14ac:dyDescent="0.6">
      <c r="A24" s="100"/>
      <c r="B24" s="100" t="s">
        <v>364</v>
      </c>
      <c r="C24" s="179" t="s">
        <v>382</v>
      </c>
      <c r="D24" s="179">
        <v>84</v>
      </c>
      <c r="E24" s="180">
        <v>120000</v>
      </c>
      <c r="F24" s="101">
        <v>100000</v>
      </c>
      <c r="G24" s="101">
        <v>100000</v>
      </c>
      <c r="H24" s="101"/>
      <c r="I24" s="100" t="s">
        <v>457</v>
      </c>
      <c r="J24" s="184">
        <v>200000</v>
      </c>
      <c r="K24" s="184">
        <f t="shared" si="0"/>
        <v>30000</v>
      </c>
      <c r="L24" s="30">
        <f t="shared" si="1"/>
        <v>156000</v>
      </c>
    </row>
    <row r="25" spans="1:12" s="93" customFormat="1" ht="20.100000000000001" customHeight="1" x14ac:dyDescent="0.6">
      <c r="A25" s="100"/>
      <c r="B25" s="100" t="s">
        <v>364</v>
      </c>
      <c r="C25" s="179" t="s">
        <v>375</v>
      </c>
      <c r="D25" s="179">
        <v>85</v>
      </c>
      <c r="E25" s="180">
        <v>120000</v>
      </c>
      <c r="F25" s="101">
        <v>100000</v>
      </c>
      <c r="G25" s="101">
        <v>90000</v>
      </c>
      <c r="H25" s="101"/>
      <c r="I25" s="100" t="s">
        <v>457</v>
      </c>
      <c r="J25" s="184">
        <v>200000</v>
      </c>
      <c r="K25" s="184">
        <f t="shared" si="0"/>
        <v>30000</v>
      </c>
      <c r="L25" s="30">
        <f>E25*1.3</f>
        <v>156000</v>
      </c>
    </row>
    <row r="26" spans="1:12" s="93" customFormat="1" ht="20.100000000000001" customHeight="1" x14ac:dyDescent="0.6">
      <c r="A26" s="100"/>
      <c r="B26" s="100" t="s">
        <v>364</v>
      </c>
      <c r="C26" s="179" t="s">
        <v>391</v>
      </c>
      <c r="D26" s="179">
        <v>93</v>
      </c>
      <c r="E26" s="180">
        <v>120000</v>
      </c>
      <c r="F26" s="101">
        <v>100000</v>
      </c>
      <c r="G26" s="101">
        <v>90000</v>
      </c>
      <c r="H26" s="101"/>
      <c r="I26" s="100" t="s">
        <v>457</v>
      </c>
      <c r="J26" s="184">
        <v>200000</v>
      </c>
      <c r="K26" s="184">
        <f t="shared" si="0"/>
        <v>30000</v>
      </c>
      <c r="L26" s="30">
        <f>E26*1.3</f>
        <v>156000</v>
      </c>
    </row>
    <row r="27" spans="1:12" s="93" customFormat="1" ht="20.100000000000001" customHeight="1" x14ac:dyDescent="0.6">
      <c r="A27" s="100"/>
      <c r="B27" s="100" t="s">
        <v>364</v>
      </c>
      <c r="C27" s="186" t="s">
        <v>389</v>
      </c>
      <c r="D27" s="186">
        <v>100</v>
      </c>
      <c r="E27" s="187">
        <v>150000</v>
      </c>
      <c r="F27" s="101">
        <v>130000</v>
      </c>
      <c r="G27" s="101">
        <v>110000</v>
      </c>
      <c r="H27" s="101"/>
      <c r="I27" s="100"/>
      <c r="J27" s="188">
        <v>220000</v>
      </c>
      <c r="K27" s="188">
        <f t="shared" si="0"/>
        <v>50000</v>
      </c>
      <c r="L27" s="30">
        <f>E27*1.3</f>
        <v>195000</v>
      </c>
    </row>
    <row r="28" spans="1:12" s="93" customFormat="1" ht="20.100000000000001" customHeight="1" x14ac:dyDescent="0.6">
      <c r="A28" s="100"/>
      <c r="B28" s="100" t="s">
        <v>364</v>
      </c>
      <c r="C28" s="186" t="s">
        <v>390</v>
      </c>
      <c r="D28" s="186">
        <v>100</v>
      </c>
      <c r="E28" s="187">
        <v>150000</v>
      </c>
      <c r="F28" s="101">
        <v>130000</v>
      </c>
      <c r="G28" s="101">
        <v>110000</v>
      </c>
      <c r="H28" s="101"/>
      <c r="I28" s="100"/>
      <c r="J28" s="188">
        <v>220000</v>
      </c>
      <c r="K28" s="188">
        <f t="shared" si="0"/>
        <v>50000</v>
      </c>
      <c r="L28" s="30">
        <f>E28*1.3</f>
        <v>195000</v>
      </c>
    </row>
    <row r="29" spans="1:12" s="93" customFormat="1" ht="20.100000000000001" customHeight="1" x14ac:dyDescent="0.6">
      <c r="A29" s="100"/>
      <c r="B29" s="100" t="s">
        <v>364</v>
      </c>
      <c r="C29" s="186" t="s">
        <v>394</v>
      </c>
      <c r="D29" s="186">
        <v>102</v>
      </c>
      <c r="E29" s="187">
        <v>120000</v>
      </c>
      <c r="F29" s="101">
        <v>100000</v>
      </c>
      <c r="G29" s="101">
        <v>90000</v>
      </c>
      <c r="H29" s="101"/>
      <c r="I29" s="100"/>
      <c r="J29" s="188">
        <v>220000</v>
      </c>
      <c r="K29" s="188">
        <f t="shared" si="0"/>
        <v>50000</v>
      </c>
      <c r="L29" s="30">
        <f>E29*1.3</f>
        <v>156000</v>
      </c>
    </row>
    <row r="30" spans="1:12" s="93" customFormat="1" ht="20.100000000000001" customHeight="1" x14ac:dyDescent="0.6">
      <c r="A30" s="100"/>
      <c r="B30" s="100" t="s">
        <v>364</v>
      </c>
      <c r="C30" s="100" t="s">
        <v>386</v>
      </c>
      <c r="D30" s="100">
        <v>112</v>
      </c>
      <c r="E30" s="101">
        <v>160000</v>
      </c>
      <c r="F30" s="101">
        <v>160000</v>
      </c>
      <c r="G30" s="101">
        <v>160000</v>
      </c>
      <c r="H30" s="101"/>
      <c r="I30" s="100"/>
      <c r="J30" s="157"/>
      <c r="K30" s="157">
        <f t="shared" si="0"/>
        <v>-170000</v>
      </c>
      <c r="L30" s="30">
        <f>E30*1.3</f>
        <v>208000</v>
      </c>
    </row>
    <row r="31" spans="1:12" s="93" customFormat="1" ht="20.100000000000001" customHeight="1" x14ac:dyDescent="0.6">
      <c r="A31" s="100"/>
      <c r="B31" s="100" t="s">
        <v>364</v>
      </c>
      <c r="C31" s="100" t="s">
        <v>395</v>
      </c>
      <c r="D31" s="100">
        <v>119</v>
      </c>
      <c r="E31" s="101">
        <v>180000</v>
      </c>
      <c r="F31" s="101">
        <v>170000</v>
      </c>
      <c r="G31" s="101">
        <v>160000</v>
      </c>
      <c r="H31" s="101"/>
      <c r="I31" s="100"/>
      <c r="J31" s="157"/>
      <c r="K31" s="157">
        <f t="shared" si="0"/>
        <v>-170000</v>
      </c>
      <c r="L31" s="30">
        <f>E31*1.3</f>
        <v>234000</v>
      </c>
    </row>
    <row r="32" spans="1:12" s="93" customFormat="1" ht="20.100000000000001" customHeight="1" x14ac:dyDescent="0.6">
      <c r="A32" s="100"/>
      <c r="B32" s="100" t="s">
        <v>364</v>
      </c>
      <c r="C32" s="100" t="s">
        <v>384</v>
      </c>
      <c r="D32" s="100">
        <v>121</v>
      </c>
      <c r="E32" s="101">
        <v>190000</v>
      </c>
      <c r="F32" s="101">
        <v>170000</v>
      </c>
      <c r="G32" s="101">
        <v>160000</v>
      </c>
      <c r="H32" s="101"/>
      <c r="I32" s="100"/>
      <c r="J32" s="157"/>
      <c r="K32" s="157">
        <f t="shared" si="0"/>
        <v>-170000</v>
      </c>
      <c r="L32" s="30">
        <f t="shared" si="1"/>
        <v>247000</v>
      </c>
    </row>
    <row r="33" spans="1:12" s="93" customFormat="1" ht="20.100000000000001" customHeight="1" x14ac:dyDescent="0.6">
      <c r="A33" s="100"/>
      <c r="B33" s="100" t="s">
        <v>364</v>
      </c>
      <c r="C33" s="100" t="s">
        <v>393</v>
      </c>
      <c r="D33" s="100">
        <v>123</v>
      </c>
      <c r="E33" s="101">
        <v>190000</v>
      </c>
      <c r="F33" s="101">
        <v>170000</v>
      </c>
      <c r="G33" s="101">
        <v>150000</v>
      </c>
      <c r="H33" s="101"/>
      <c r="I33" s="100"/>
      <c r="J33" s="157"/>
      <c r="K33" s="157">
        <f t="shared" si="0"/>
        <v>-170000</v>
      </c>
      <c r="L33" s="30">
        <f>E33*1.3</f>
        <v>247000</v>
      </c>
    </row>
    <row r="34" spans="1:12" s="93" customFormat="1" ht="20.100000000000001" customHeight="1" x14ac:dyDescent="0.6">
      <c r="A34" s="102"/>
      <c r="B34" s="102" t="s">
        <v>364</v>
      </c>
      <c r="C34" s="102" t="s">
        <v>396</v>
      </c>
      <c r="D34" s="102">
        <v>132</v>
      </c>
      <c r="E34" s="103">
        <v>200000</v>
      </c>
      <c r="F34" s="103">
        <v>190000</v>
      </c>
      <c r="G34" s="146">
        <v>180000</v>
      </c>
      <c r="H34" s="103"/>
      <c r="I34" s="102"/>
      <c r="J34" s="157"/>
      <c r="K34" s="157">
        <f t="shared" si="0"/>
        <v>-170000</v>
      </c>
      <c r="L34" s="30">
        <f>E34*1.3</f>
        <v>260000</v>
      </c>
    </row>
    <row r="35" spans="1:12" s="93" customFormat="1" ht="20.100000000000001" customHeight="1" x14ac:dyDescent="0.6">
      <c r="A35" s="100"/>
      <c r="B35" s="100" t="s">
        <v>364</v>
      </c>
      <c r="C35" s="100" t="s">
        <v>392</v>
      </c>
      <c r="D35" s="100">
        <v>135</v>
      </c>
      <c r="E35" s="101">
        <v>210000</v>
      </c>
      <c r="F35" s="101">
        <v>190000</v>
      </c>
      <c r="G35" s="101">
        <v>170000</v>
      </c>
      <c r="H35" s="101"/>
      <c r="I35" s="100"/>
      <c r="J35" s="157"/>
      <c r="K35" s="157">
        <f t="shared" si="0"/>
        <v>-170000</v>
      </c>
      <c r="L35" s="30">
        <f t="shared" si="1"/>
        <v>273000</v>
      </c>
    </row>
    <row r="36" spans="1:12" s="93" customFormat="1" ht="20.100000000000001" customHeight="1" x14ac:dyDescent="0.6">
      <c r="A36" s="106"/>
      <c r="B36" s="106" t="s">
        <v>397</v>
      </c>
      <c r="C36" s="106" t="s">
        <v>401</v>
      </c>
      <c r="D36" s="106">
        <v>172</v>
      </c>
      <c r="E36" s="107">
        <v>260000</v>
      </c>
      <c r="F36" s="107">
        <v>240000</v>
      </c>
      <c r="G36" s="107">
        <v>220000</v>
      </c>
      <c r="H36" s="107"/>
      <c r="I36" s="106"/>
      <c r="J36" s="157"/>
      <c r="K36" s="157">
        <f t="shared" si="0"/>
        <v>-170000</v>
      </c>
      <c r="L36" s="30">
        <f>E36*1.3</f>
        <v>338000</v>
      </c>
    </row>
    <row r="37" spans="1:12" s="93" customFormat="1" ht="20.100000000000001" customHeight="1" x14ac:dyDescent="0.6">
      <c r="A37" s="104"/>
      <c r="B37" s="104" t="s">
        <v>397</v>
      </c>
      <c r="C37" s="104" t="s">
        <v>398</v>
      </c>
      <c r="D37" s="104">
        <v>174</v>
      </c>
      <c r="E37" s="105">
        <v>270000</v>
      </c>
      <c r="F37" s="105">
        <v>250000</v>
      </c>
      <c r="G37" s="105">
        <v>230000</v>
      </c>
      <c r="H37" s="105"/>
      <c r="I37" s="104"/>
      <c r="J37" s="157"/>
      <c r="K37" s="157">
        <f t="shared" si="0"/>
        <v>-170000</v>
      </c>
      <c r="L37" s="30">
        <f t="shared" si="1"/>
        <v>351000</v>
      </c>
    </row>
    <row r="38" spans="1:12" s="93" customFormat="1" ht="20.100000000000001" customHeight="1" x14ac:dyDescent="0.6">
      <c r="A38" s="108"/>
      <c r="B38" s="108" t="s">
        <v>397</v>
      </c>
      <c r="C38" s="108" t="s">
        <v>402</v>
      </c>
      <c r="D38" s="108">
        <v>195</v>
      </c>
      <c r="E38" s="109">
        <v>290000</v>
      </c>
      <c r="F38" s="109">
        <v>270000</v>
      </c>
      <c r="G38" s="109">
        <v>250000</v>
      </c>
      <c r="H38" s="109"/>
      <c r="I38" s="108"/>
      <c r="J38" s="157"/>
      <c r="K38" s="157">
        <f t="shared" si="0"/>
        <v>-170000</v>
      </c>
      <c r="L38" s="30">
        <f>E38*1.3</f>
        <v>377000</v>
      </c>
    </row>
    <row r="39" spans="1:12" s="93" customFormat="1" ht="20.100000000000001" customHeight="1" x14ac:dyDescent="0.6">
      <c r="A39" s="106"/>
      <c r="B39" s="106" t="s">
        <v>397</v>
      </c>
      <c r="C39" s="106" t="s">
        <v>399</v>
      </c>
      <c r="D39" s="106">
        <v>199</v>
      </c>
      <c r="E39" s="107">
        <v>290000</v>
      </c>
      <c r="F39" s="107">
        <v>270000</v>
      </c>
      <c r="G39" s="107">
        <v>250000</v>
      </c>
      <c r="H39" s="107"/>
      <c r="I39" s="106"/>
      <c r="J39" s="157"/>
      <c r="K39" s="157">
        <f t="shared" si="0"/>
        <v>-170000</v>
      </c>
      <c r="L39" s="30">
        <f t="shared" si="1"/>
        <v>377000</v>
      </c>
    </row>
    <row r="40" spans="1:12" s="93" customFormat="1" ht="20.100000000000001" customHeight="1" x14ac:dyDescent="0.6">
      <c r="A40" s="106"/>
      <c r="B40" s="106" t="s">
        <v>397</v>
      </c>
      <c r="C40" s="106" t="s">
        <v>400</v>
      </c>
      <c r="D40" s="106">
        <v>205</v>
      </c>
      <c r="E40" s="107">
        <v>310000</v>
      </c>
      <c r="F40" s="107">
        <v>290000</v>
      </c>
      <c r="G40" s="107">
        <v>270000</v>
      </c>
      <c r="H40" s="107"/>
      <c r="I40" s="106"/>
      <c r="J40" s="157"/>
      <c r="K40" s="157">
        <f t="shared" si="0"/>
        <v>-170000</v>
      </c>
      <c r="L40" s="30">
        <f t="shared" si="1"/>
        <v>403000</v>
      </c>
    </row>
    <row r="41" spans="1:12" s="93" customFormat="1" ht="20.100000000000001" customHeight="1" x14ac:dyDescent="0.6">
      <c r="A41" s="112"/>
      <c r="B41" s="112" t="s">
        <v>403</v>
      </c>
      <c r="C41" s="112" t="s">
        <v>406</v>
      </c>
      <c r="D41" s="112">
        <v>115</v>
      </c>
      <c r="E41" s="113">
        <v>180000</v>
      </c>
      <c r="F41" s="113">
        <v>180000</v>
      </c>
      <c r="G41" s="113">
        <v>180000</v>
      </c>
      <c r="H41" s="113"/>
      <c r="I41" s="112"/>
      <c r="J41" s="157"/>
      <c r="K41" s="157">
        <f t="shared" si="0"/>
        <v>-170000</v>
      </c>
      <c r="L41" s="30">
        <f>E41*1.3</f>
        <v>234000</v>
      </c>
    </row>
    <row r="42" spans="1:12" s="93" customFormat="1" ht="20.100000000000001" customHeight="1" x14ac:dyDescent="0.6">
      <c r="A42" s="112"/>
      <c r="B42" s="112" t="s">
        <v>403</v>
      </c>
      <c r="C42" s="112" t="s">
        <v>405</v>
      </c>
      <c r="D42" s="112">
        <v>117</v>
      </c>
      <c r="E42" s="113">
        <v>180000</v>
      </c>
      <c r="F42" s="113">
        <v>180000</v>
      </c>
      <c r="G42" s="113">
        <v>180000</v>
      </c>
      <c r="H42" s="113"/>
      <c r="I42" s="112"/>
      <c r="J42" s="157"/>
      <c r="K42" s="157">
        <f t="shared" si="0"/>
        <v>-170000</v>
      </c>
      <c r="L42" s="30">
        <f>E42*1.3</f>
        <v>234000</v>
      </c>
    </row>
    <row r="43" spans="1:12" s="93" customFormat="1" ht="19.899999999999999" customHeight="1" x14ac:dyDescent="0.6">
      <c r="A43" s="110"/>
      <c r="B43" s="110" t="s">
        <v>403</v>
      </c>
      <c r="C43" s="110" t="s">
        <v>404</v>
      </c>
      <c r="D43" s="110">
        <v>136</v>
      </c>
      <c r="E43" s="111">
        <v>210000</v>
      </c>
      <c r="F43" s="111">
        <v>190000</v>
      </c>
      <c r="G43" s="111">
        <v>180000</v>
      </c>
      <c r="H43" s="111"/>
      <c r="I43" s="110"/>
      <c r="J43" s="157"/>
      <c r="K43" s="157">
        <f t="shared" si="0"/>
        <v>-170000</v>
      </c>
      <c r="L43" s="30">
        <f t="shared" si="1"/>
        <v>273000</v>
      </c>
    </row>
    <row r="44" spans="1:12" s="93" customFormat="1" ht="20.100000000000001" customHeight="1" x14ac:dyDescent="0.6">
      <c r="A44" s="112"/>
      <c r="B44" s="112" t="s">
        <v>403</v>
      </c>
      <c r="C44" s="112" t="s">
        <v>407</v>
      </c>
      <c r="D44" s="112">
        <v>158</v>
      </c>
      <c r="E44" s="113">
        <v>240000</v>
      </c>
      <c r="F44" s="113">
        <v>220000</v>
      </c>
      <c r="G44" s="113">
        <v>210000</v>
      </c>
      <c r="H44" s="113"/>
      <c r="I44" s="112"/>
      <c r="J44" s="157"/>
      <c r="K44" s="157">
        <f t="shared" si="0"/>
        <v>-170000</v>
      </c>
      <c r="L44" s="30">
        <f t="shared" si="1"/>
        <v>312000</v>
      </c>
    </row>
    <row r="45" spans="1:12" s="93" customFormat="1" ht="20.100000000000001" customHeight="1" x14ac:dyDescent="0.6">
      <c r="A45" s="114"/>
      <c r="B45" s="114" t="s">
        <v>403</v>
      </c>
      <c r="C45" s="114" t="s">
        <v>408</v>
      </c>
      <c r="D45" s="114">
        <v>205</v>
      </c>
      <c r="E45" s="115">
        <v>310000</v>
      </c>
      <c r="F45" s="115">
        <v>290000</v>
      </c>
      <c r="G45" s="115">
        <v>280000</v>
      </c>
      <c r="H45" s="115"/>
      <c r="I45" s="114"/>
      <c r="J45" s="157"/>
      <c r="K45" s="157">
        <f t="shared" si="0"/>
        <v>-170000</v>
      </c>
      <c r="L45" s="30">
        <f t="shared" si="1"/>
        <v>403000</v>
      </c>
    </row>
    <row r="46" spans="1:12" s="93" customFormat="1" ht="20.100000000000001" customHeight="1" x14ac:dyDescent="0.6">
      <c r="A46" s="118"/>
      <c r="B46" s="118" t="s">
        <v>409</v>
      </c>
      <c r="C46" s="118" t="s">
        <v>411</v>
      </c>
      <c r="D46" s="118">
        <v>163</v>
      </c>
      <c r="E46" s="119">
        <v>250000</v>
      </c>
      <c r="F46" s="119">
        <v>230000</v>
      </c>
      <c r="G46" s="119">
        <v>230000</v>
      </c>
      <c r="H46" s="119"/>
      <c r="I46" s="118"/>
      <c r="J46" s="157"/>
      <c r="K46" s="157">
        <f t="shared" si="0"/>
        <v>-170000</v>
      </c>
      <c r="L46" s="30">
        <f>E46*1.3</f>
        <v>325000</v>
      </c>
    </row>
    <row r="47" spans="1:12" s="93" customFormat="1" ht="20.100000000000001" customHeight="1" x14ac:dyDescent="0.6">
      <c r="A47" s="116"/>
      <c r="B47" s="116" t="s">
        <v>409</v>
      </c>
      <c r="C47" s="116" t="s">
        <v>410</v>
      </c>
      <c r="D47" s="116">
        <v>165</v>
      </c>
      <c r="E47" s="117">
        <v>250000</v>
      </c>
      <c r="F47" s="117">
        <v>230000</v>
      </c>
      <c r="G47" s="117">
        <v>220000</v>
      </c>
      <c r="H47" s="117"/>
      <c r="I47" s="116"/>
      <c r="J47" s="157"/>
      <c r="K47" s="157">
        <f t="shared" si="0"/>
        <v>-170000</v>
      </c>
      <c r="L47" s="30">
        <f t="shared" si="1"/>
        <v>325000</v>
      </c>
    </row>
    <row r="48" spans="1:12" s="93" customFormat="1" ht="20.100000000000001" customHeight="1" x14ac:dyDescent="0.6">
      <c r="A48" s="118"/>
      <c r="B48" s="118" t="s">
        <v>409</v>
      </c>
      <c r="C48" s="118" t="s">
        <v>412</v>
      </c>
      <c r="D48" s="118">
        <v>165</v>
      </c>
      <c r="E48" s="119">
        <v>250000</v>
      </c>
      <c r="F48" s="119">
        <v>230000</v>
      </c>
      <c r="G48" s="119">
        <v>220000</v>
      </c>
      <c r="H48" s="119"/>
      <c r="I48" s="118"/>
      <c r="J48" s="157"/>
      <c r="K48" s="157">
        <f t="shared" si="0"/>
        <v>-170000</v>
      </c>
      <c r="L48" s="30">
        <f t="shared" si="1"/>
        <v>325000</v>
      </c>
    </row>
    <row r="49" spans="1:12" s="93" customFormat="1" ht="20.100000000000001" customHeight="1" x14ac:dyDescent="0.6">
      <c r="A49" s="118"/>
      <c r="B49" s="118" t="s">
        <v>409</v>
      </c>
      <c r="C49" s="118" t="s">
        <v>413</v>
      </c>
      <c r="D49" s="118">
        <v>167</v>
      </c>
      <c r="E49" s="119">
        <v>260000</v>
      </c>
      <c r="F49" s="119">
        <v>240000</v>
      </c>
      <c r="G49" s="119">
        <v>220000</v>
      </c>
      <c r="H49" s="119"/>
      <c r="I49" s="118"/>
      <c r="J49" s="157"/>
      <c r="K49" s="157">
        <f t="shared" si="0"/>
        <v>-170000</v>
      </c>
      <c r="L49" s="30">
        <f t="shared" si="1"/>
        <v>338000</v>
      </c>
    </row>
    <row r="50" spans="1:12" s="93" customFormat="1" ht="20.100000000000001" customHeight="1" x14ac:dyDescent="0.6">
      <c r="A50" s="118"/>
      <c r="B50" s="118" t="s">
        <v>409</v>
      </c>
      <c r="C50" s="118" t="s">
        <v>416</v>
      </c>
      <c r="D50" s="118">
        <v>237</v>
      </c>
      <c r="E50" s="119">
        <v>360000</v>
      </c>
      <c r="F50" s="119">
        <v>340000</v>
      </c>
      <c r="G50" s="119">
        <v>320000</v>
      </c>
      <c r="H50" s="119"/>
      <c r="I50" s="118"/>
      <c r="J50" s="157"/>
      <c r="K50" s="157">
        <f t="shared" si="0"/>
        <v>-170000</v>
      </c>
      <c r="L50" s="30">
        <f>E50*1.3</f>
        <v>468000</v>
      </c>
    </row>
    <row r="51" spans="1:12" s="93" customFormat="1" ht="20.100000000000001" customHeight="1" x14ac:dyDescent="0.6">
      <c r="A51" s="118"/>
      <c r="B51" s="118" t="s">
        <v>409</v>
      </c>
      <c r="C51" s="118" t="s">
        <v>414</v>
      </c>
      <c r="D51" s="118">
        <v>250</v>
      </c>
      <c r="E51" s="119">
        <v>380000</v>
      </c>
      <c r="F51" s="119">
        <v>360000</v>
      </c>
      <c r="G51" s="119">
        <v>340000</v>
      </c>
      <c r="H51" s="119"/>
      <c r="I51" s="118"/>
      <c r="J51" s="157"/>
      <c r="K51" s="157">
        <f t="shared" si="0"/>
        <v>-170000</v>
      </c>
      <c r="L51" s="30">
        <f t="shared" si="1"/>
        <v>494000</v>
      </c>
    </row>
    <row r="52" spans="1:12" s="93" customFormat="1" ht="20.100000000000001" customHeight="1" x14ac:dyDescent="0.6">
      <c r="A52" s="118"/>
      <c r="B52" s="118" t="s">
        <v>409</v>
      </c>
      <c r="C52" s="118" t="s">
        <v>415</v>
      </c>
      <c r="D52" s="118">
        <v>260</v>
      </c>
      <c r="E52" s="119">
        <v>390000</v>
      </c>
      <c r="F52" s="119">
        <v>370000</v>
      </c>
      <c r="G52" s="119">
        <v>350000</v>
      </c>
      <c r="H52" s="119"/>
      <c r="I52" s="118"/>
      <c r="J52" s="157"/>
      <c r="K52" s="157">
        <f t="shared" si="0"/>
        <v>-170000</v>
      </c>
      <c r="L52" s="30">
        <f t="shared" si="1"/>
        <v>507000</v>
      </c>
    </row>
    <row r="53" spans="1:12" s="93" customFormat="1" ht="20.100000000000001" customHeight="1" x14ac:dyDescent="0.6">
      <c r="A53" s="120"/>
      <c r="B53" s="120" t="s">
        <v>409</v>
      </c>
      <c r="C53" s="120" t="s">
        <v>417</v>
      </c>
      <c r="D53" s="120">
        <v>273</v>
      </c>
      <c r="E53" s="121">
        <v>410000</v>
      </c>
      <c r="F53" s="121">
        <v>390000</v>
      </c>
      <c r="G53" s="121">
        <v>370000</v>
      </c>
      <c r="H53" s="121"/>
      <c r="I53" s="120"/>
      <c r="J53" s="157"/>
      <c r="K53" s="157">
        <f t="shared" si="0"/>
        <v>-170000</v>
      </c>
      <c r="L53" s="30">
        <f t="shared" si="1"/>
        <v>533000</v>
      </c>
    </row>
    <row r="54" spans="1:12" s="93" customFormat="1" ht="20.100000000000001" customHeight="1" x14ac:dyDescent="0.6">
      <c r="A54" s="124"/>
      <c r="B54" s="124" t="s">
        <v>418</v>
      </c>
      <c r="C54" s="124" t="s">
        <v>420</v>
      </c>
      <c r="D54" s="124">
        <v>284</v>
      </c>
      <c r="E54" s="125">
        <v>430000</v>
      </c>
      <c r="F54" s="125">
        <v>410000</v>
      </c>
      <c r="G54" s="125">
        <v>390000</v>
      </c>
      <c r="H54" s="125"/>
      <c r="I54" s="124"/>
      <c r="J54" s="157"/>
      <c r="K54" s="157">
        <f t="shared" si="0"/>
        <v>-170000</v>
      </c>
      <c r="L54" s="30">
        <f>E54*1.3</f>
        <v>559000</v>
      </c>
    </row>
    <row r="55" spans="1:12" s="93" customFormat="1" ht="20.100000000000001" customHeight="1" x14ac:dyDescent="0.6">
      <c r="A55" s="122"/>
      <c r="B55" s="122" t="s">
        <v>418</v>
      </c>
      <c r="C55" s="122" t="s">
        <v>419</v>
      </c>
      <c r="D55" s="122">
        <v>327</v>
      </c>
      <c r="E55" s="123">
        <v>490000</v>
      </c>
      <c r="F55" s="123">
        <v>470000</v>
      </c>
      <c r="G55" s="123">
        <v>450000</v>
      </c>
      <c r="H55" s="123"/>
      <c r="I55" s="122"/>
      <c r="J55" s="157"/>
      <c r="K55" s="157">
        <f t="shared" si="0"/>
        <v>-170000</v>
      </c>
      <c r="L55" s="30">
        <f t="shared" si="1"/>
        <v>637000</v>
      </c>
    </row>
    <row r="56" spans="1:12" s="93" customFormat="1" ht="20.100000000000001" customHeight="1" x14ac:dyDescent="0.6">
      <c r="A56" s="124"/>
      <c r="B56" s="124" t="s">
        <v>418</v>
      </c>
      <c r="C56" s="124" t="s">
        <v>421</v>
      </c>
      <c r="D56" s="124">
        <v>369</v>
      </c>
      <c r="E56" s="125">
        <v>550000</v>
      </c>
      <c r="F56" s="125">
        <v>530000</v>
      </c>
      <c r="G56" s="125">
        <v>510000</v>
      </c>
      <c r="H56" s="125"/>
      <c r="I56" s="124"/>
      <c r="J56" s="157"/>
      <c r="K56" s="157">
        <f t="shared" si="0"/>
        <v>-170000</v>
      </c>
      <c r="L56" s="30">
        <f t="shared" si="1"/>
        <v>715000</v>
      </c>
    </row>
    <row r="57" spans="1:12" s="93" customFormat="1" ht="20.100000000000001" customHeight="1" x14ac:dyDescent="0.6">
      <c r="A57" s="126"/>
      <c r="B57" s="126" t="s">
        <v>418</v>
      </c>
      <c r="C57" s="126" t="s">
        <v>422</v>
      </c>
      <c r="D57" s="126">
        <v>373</v>
      </c>
      <c r="E57" s="127">
        <v>550000</v>
      </c>
      <c r="F57" s="127">
        <v>530000</v>
      </c>
      <c r="G57" s="127">
        <v>510000</v>
      </c>
      <c r="H57" s="127"/>
      <c r="I57" s="126"/>
      <c r="J57" s="157"/>
      <c r="K57" s="157">
        <f t="shared" si="0"/>
        <v>-170000</v>
      </c>
      <c r="L57" s="30">
        <f t="shared" si="1"/>
        <v>715000</v>
      </c>
    </row>
    <row r="58" spans="1:12" s="93" customFormat="1" ht="20.100000000000001" customHeight="1" x14ac:dyDescent="0.6">
      <c r="A58" s="130"/>
      <c r="B58" s="130" t="s">
        <v>423</v>
      </c>
      <c r="C58" s="130" t="s">
        <v>426</v>
      </c>
      <c r="D58" s="130">
        <v>375</v>
      </c>
      <c r="E58" s="131">
        <v>560000</v>
      </c>
      <c r="F58" s="131">
        <v>540000</v>
      </c>
      <c r="G58" s="131">
        <v>520000</v>
      </c>
      <c r="H58" s="131"/>
      <c r="I58" s="130"/>
      <c r="J58" s="157"/>
      <c r="K58" s="157">
        <f t="shared" si="0"/>
        <v>-170000</v>
      </c>
      <c r="L58" s="30">
        <f>E58*1.3</f>
        <v>728000</v>
      </c>
    </row>
    <row r="59" spans="1:12" s="93" customFormat="1" ht="20.100000000000001" customHeight="1" x14ac:dyDescent="0.6">
      <c r="A59" s="132"/>
      <c r="B59" s="132" t="s">
        <v>423</v>
      </c>
      <c r="C59" s="132" t="s">
        <v>429</v>
      </c>
      <c r="D59" s="132">
        <v>384</v>
      </c>
      <c r="E59" s="133">
        <v>570000</v>
      </c>
      <c r="F59" s="133">
        <v>550000</v>
      </c>
      <c r="G59" s="133">
        <v>530000</v>
      </c>
      <c r="H59" s="133"/>
      <c r="I59" s="132"/>
      <c r="J59" s="157"/>
      <c r="K59" s="157">
        <f t="shared" si="0"/>
        <v>-170000</v>
      </c>
      <c r="L59" s="30">
        <f>E59*1.3</f>
        <v>741000</v>
      </c>
    </row>
    <row r="60" spans="1:12" s="93" customFormat="1" ht="20.100000000000001" customHeight="1" x14ac:dyDescent="0.6">
      <c r="A60" s="130"/>
      <c r="B60" s="130" t="s">
        <v>423</v>
      </c>
      <c r="C60" s="130" t="s">
        <v>427</v>
      </c>
      <c r="D60" s="130">
        <v>409</v>
      </c>
      <c r="E60" s="131">
        <v>610000</v>
      </c>
      <c r="F60" s="131">
        <v>590000</v>
      </c>
      <c r="G60" s="131">
        <v>570000</v>
      </c>
      <c r="H60" s="131"/>
      <c r="I60" s="130"/>
      <c r="J60" s="157"/>
      <c r="K60" s="157">
        <f t="shared" si="0"/>
        <v>-170000</v>
      </c>
      <c r="L60" s="30">
        <f>E60*1.3</f>
        <v>793000</v>
      </c>
    </row>
    <row r="61" spans="1:12" s="93" customFormat="1" ht="20.100000000000001" customHeight="1" x14ac:dyDescent="0.6">
      <c r="A61" s="128"/>
      <c r="B61" s="128" t="s">
        <v>423</v>
      </c>
      <c r="C61" s="128" t="s">
        <v>424</v>
      </c>
      <c r="D61" s="128">
        <v>411</v>
      </c>
      <c r="E61" s="129">
        <v>610000</v>
      </c>
      <c r="F61" s="129">
        <v>590000</v>
      </c>
      <c r="G61" s="129">
        <v>570000</v>
      </c>
      <c r="H61" s="129"/>
      <c r="I61" s="128"/>
      <c r="J61" s="157"/>
      <c r="K61" s="157">
        <f t="shared" si="0"/>
        <v>-170000</v>
      </c>
      <c r="L61" s="30">
        <f t="shared" si="1"/>
        <v>793000</v>
      </c>
    </row>
    <row r="62" spans="1:12" s="93" customFormat="1" ht="20.100000000000001" customHeight="1" x14ac:dyDescent="0.6">
      <c r="A62" s="130"/>
      <c r="B62" s="130" t="s">
        <v>423</v>
      </c>
      <c r="C62" s="130" t="s">
        <v>425</v>
      </c>
      <c r="D62" s="130">
        <v>433</v>
      </c>
      <c r="E62" s="131">
        <v>650000</v>
      </c>
      <c r="F62" s="131">
        <v>630000</v>
      </c>
      <c r="G62" s="131">
        <v>610000</v>
      </c>
      <c r="H62" s="131"/>
      <c r="I62" s="130"/>
      <c r="J62" s="157"/>
      <c r="K62" s="157">
        <f t="shared" si="0"/>
        <v>-170000</v>
      </c>
      <c r="L62" s="30">
        <f t="shared" si="1"/>
        <v>845000</v>
      </c>
    </row>
    <row r="63" spans="1:12" s="93" customFormat="1" ht="20.100000000000001" customHeight="1" x14ac:dyDescent="0.6">
      <c r="A63" s="130"/>
      <c r="B63" s="130" t="s">
        <v>423</v>
      </c>
      <c r="C63" s="130" t="s">
        <v>428</v>
      </c>
      <c r="D63" s="130">
        <v>437</v>
      </c>
      <c r="E63" s="131">
        <v>660000</v>
      </c>
      <c r="F63" s="131">
        <v>640000</v>
      </c>
      <c r="G63" s="131">
        <v>620000</v>
      </c>
      <c r="H63" s="131"/>
      <c r="I63" s="130"/>
      <c r="J63" s="157"/>
      <c r="K63" s="157">
        <f t="shared" si="0"/>
        <v>-170000</v>
      </c>
      <c r="L63" s="30">
        <f t="shared" si="1"/>
        <v>858000</v>
      </c>
    </row>
    <row r="64" spans="1:12" s="93" customFormat="1" ht="20.100000000000001" customHeight="1" x14ac:dyDescent="0.6">
      <c r="A64" s="134"/>
      <c r="B64" s="134" t="s">
        <v>430</v>
      </c>
      <c r="C64" s="134" t="s">
        <v>431</v>
      </c>
      <c r="D64" s="134">
        <v>217</v>
      </c>
      <c r="E64" s="135">
        <v>330000</v>
      </c>
      <c r="F64" s="135">
        <v>310000</v>
      </c>
      <c r="G64" s="135">
        <v>300000</v>
      </c>
      <c r="H64" s="135"/>
      <c r="I64" s="134"/>
      <c r="J64" s="157"/>
      <c r="K64" s="157">
        <f t="shared" si="0"/>
        <v>-170000</v>
      </c>
      <c r="L64" s="30">
        <f t="shared" si="1"/>
        <v>429000</v>
      </c>
    </row>
    <row r="65" spans="1:12" s="93" customFormat="1" ht="20.100000000000001" customHeight="1" x14ac:dyDescent="0.6">
      <c r="A65" s="136"/>
      <c r="B65" s="136" t="s">
        <v>430</v>
      </c>
      <c r="C65" s="136" t="s">
        <v>432</v>
      </c>
      <c r="D65" s="136">
        <v>232</v>
      </c>
      <c r="E65" s="137">
        <v>350000</v>
      </c>
      <c r="F65" s="137">
        <v>330000</v>
      </c>
      <c r="G65" s="137">
        <v>320000</v>
      </c>
      <c r="H65" s="137"/>
      <c r="I65" s="136"/>
      <c r="J65" s="157"/>
      <c r="K65" s="157">
        <f t="shared" si="0"/>
        <v>-170000</v>
      </c>
      <c r="L65" s="30">
        <f t="shared" si="1"/>
        <v>455000</v>
      </c>
    </row>
    <row r="66" spans="1:12" s="93" customFormat="1" ht="20.100000000000001" customHeight="1" x14ac:dyDescent="0.6">
      <c r="A66" s="138"/>
      <c r="B66" s="138" t="s">
        <v>430</v>
      </c>
      <c r="C66" s="138" t="s">
        <v>433</v>
      </c>
      <c r="D66" s="138">
        <v>253</v>
      </c>
      <c r="E66" s="139">
        <v>380000</v>
      </c>
      <c r="F66" s="139">
        <v>360000</v>
      </c>
      <c r="G66" s="139">
        <v>350000</v>
      </c>
      <c r="H66" s="139"/>
      <c r="I66" s="138"/>
      <c r="J66" s="157"/>
      <c r="K66" s="157">
        <f t="shared" si="0"/>
        <v>-170000</v>
      </c>
      <c r="L66" s="30">
        <f t="shared" si="1"/>
        <v>494000</v>
      </c>
    </row>
    <row r="67" spans="1:12" s="93" customFormat="1" ht="20.100000000000001" customHeight="1" x14ac:dyDescent="0.6">
      <c r="A67" s="140"/>
      <c r="B67" s="140" t="s">
        <v>434</v>
      </c>
      <c r="C67" s="140" t="s">
        <v>394</v>
      </c>
      <c r="D67" s="140">
        <v>324</v>
      </c>
      <c r="E67" s="141">
        <v>490000</v>
      </c>
      <c r="F67" s="141">
        <v>470000</v>
      </c>
      <c r="G67" s="141">
        <v>460000</v>
      </c>
      <c r="H67" s="141"/>
      <c r="I67" s="140"/>
      <c r="J67" s="157"/>
      <c r="K67" s="157">
        <f t="shared" si="0"/>
        <v>-170000</v>
      </c>
      <c r="L67" s="30">
        <f t="shared" ref="L67:L71" si="2">E67*1.3</f>
        <v>637000</v>
      </c>
    </row>
    <row r="68" spans="1:12" s="93" customFormat="1" ht="20.100000000000001" customHeight="1" x14ac:dyDescent="0.6">
      <c r="A68" s="142"/>
      <c r="B68" s="142" t="s">
        <v>434</v>
      </c>
      <c r="C68" s="142" t="s">
        <v>435</v>
      </c>
      <c r="D68" s="142">
        <v>346</v>
      </c>
      <c r="E68" s="143">
        <v>520000</v>
      </c>
      <c r="F68" s="143">
        <v>500000</v>
      </c>
      <c r="G68" s="143">
        <v>490000</v>
      </c>
      <c r="H68" s="143"/>
      <c r="I68" s="142"/>
      <c r="J68" s="157"/>
      <c r="K68" s="157">
        <f t="shared" ref="K68:K71" si="3">J68-170000</f>
        <v>-170000</v>
      </c>
      <c r="L68" s="30">
        <f t="shared" si="2"/>
        <v>676000</v>
      </c>
    </row>
    <row r="69" spans="1:12" s="93" customFormat="1" ht="20.100000000000001" customHeight="1" x14ac:dyDescent="0.6">
      <c r="A69" s="142"/>
      <c r="B69" s="142" t="s">
        <v>434</v>
      </c>
      <c r="C69" s="142" t="s">
        <v>436</v>
      </c>
      <c r="D69" s="142">
        <v>365</v>
      </c>
      <c r="E69" s="143">
        <v>550000</v>
      </c>
      <c r="F69" s="143">
        <v>530000</v>
      </c>
      <c r="G69" s="143">
        <v>520000</v>
      </c>
      <c r="H69" s="143"/>
      <c r="I69" s="142"/>
      <c r="J69" s="157"/>
      <c r="K69" s="157">
        <f t="shared" si="3"/>
        <v>-170000</v>
      </c>
      <c r="L69" s="30">
        <f t="shared" si="2"/>
        <v>715000</v>
      </c>
    </row>
    <row r="70" spans="1:12" s="93" customFormat="1" ht="20.100000000000001" customHeight="1" x14ac:dyDescent="0.6">
      <c r="A70" s="142"/>
      <c r="B70" s="142" t="s">
        <v>434</v>
      </c>
      <c r="C70" s="142" t="s">
        <v>437</v>
      </c>
      <c r="D70" s="142">
        <v>367</v>
      </c>
      <c r="E70" s="143">
        <v>550000</v>
      </c>
      <c r="F70" s="143">
        <v>530000</v>
      </c>
      <c r="G70" s="143">
        <v>520000</v>
      </c>
      <c r="H70" s="143"/>
      <c r="I70" s="142"/>
      <c r="J70" s="157"/>
      <c r="K70" s="157">
        <f t="shared" si="3"/>
        <v>-170000</v>
      </c>
      <c r="L70" s="30">
        <f t="shared" si="2"/>
        <v>715000</v>
      </c>
    </row>
    <row r="71" spans="1:12" s="93" customFormat="1" ht="20.100000000000001" customHeight="1" x14ac:dyDescent="0.6">
      <c r="A71" s="144"/>
      <c r="B71" s="144" t="s">
        <v>434</v>
      </c>
      <c r="C71" s="144" t="s">
        <v>438</v>
      </c>
      <c r="D71" s="144">
        <v>386</v>
      </c>
      <c r="E71" s="145">
        <v>580000</v>
      </c>
      <c r="F71" s="145">
        <v>560000</v>
      </c>
      <c r="G71" s="145">
        <v>550000</v>
      </c>
      <c r="H71" s="145"/>
      <c r="I71" s="144"/>
      <c r="J71" s="157"/>
      <c r="K71" s="157">
        <f t="shared" si="3"/>
        <v>-170000</v>
      </c>
      <c r="L71" s="30">
        <f t="shared" si="2"/>
        <v>754000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93B50-F1F9-4958-B6F4-851BEFEDC3D3}">
  <dimension ref="A1:V71"/>
  <sheetViews>
    <sheetView topLeftCell="A17" workbookViewId="0">
      <selection activeCell="G34" sqref="G34"/>
    </sheetView>
  </sheetViews>
  <sheetFormatPr defaultRowHeight="16.899999999999999" x14ac:dyDescent="0.6"/>
  <cols>
    <col min="1" max="1" width="4.4375" customWidth="1"/>
    <col min="3" max="3" width="14.375" bestFit="1" customWidth="1"/>
    <col min="5" max="8" width="14.625" customWidth="1"/>
    <col min="9" max="9" width="20.5625" customWidth="1"/>
    <col min="10" max="13" width="14.5625" customWidth="1"/>
    <col min="14" max="22" width="10.5625" customWidth="1"/>
  </cols>
  <sheetData>
    <row r="1" spans="1:22" s="93" customFormat="1" ht="20.100000000000001" customHeight="1" x14ac:dyDescent="0.6">
      <c r="D1" s="94" t="s">
        <v>353</v>
      </c>
      <c r="J1" s="149" t="s">
        <v>455</v>
      </c>
      <c r="K1" s="149"/>
      <c r="L1" s="149">
        <v>0.3</v>
      </c>
      <c r="M1" s="82"/>
      <c r="N1" s="82"/>
      <c r="O1" s="82"/>
      <c r="P1" s="82" t="s">
        <v>445</v>
      </c>
      <c r="Q1" s="82" t="s">
        <v>446</v>
      </c>
      <c r="R1" s="82"/>
      <c r="S1" s="82"/>
      <c r="T1" s="82"/>
      <c r="U1" s="82"/>
      <c r="V1" s="82"/>
    </row>
    <row r="2" spans="1:22" s="93" customFormat="1" ht="20.100000000000001" customHeight="1" x14ac:dyDescent="0.6">
      <c r="A2" s="95" t="s">
        <v>354</v>
      </c>
      <c r="B2" s="95" t="s">
        <v>355</v>
      </c>
      <c r="C2" s="95" t="s">
        <v>356</v>
      </c>
      <c r="D2" s="95" t="s">
        <v>357</v>
      </c>
      <c r="E2" s="95" t="s">
        <v>358</v>
      </c>
      <c r="F2" s="95" t="s">
        <v>359</v>
      </c>
      <c r="G2" s="95" t="s">
        <v>360</v>
      </c>
      <c r="H2" s="95" t="s">
        <v>7</v>
      </c>
      <c r="I2" s="95" t="s">
        <v>76</v>
      </c>
      <c r="J2" s="148" t="s">
        <v>443</v>
      </c>
      <c r="K2" s="185" t="s">
        <v>458</v>
      </c>
      <c r="L2" s="150" t="s">
        <v>450</v>
      </c>
      <c r="M2" s="151" t="s">
        <v>449</v>
      </c>
      <c r="N2" s="152" t="s">
        <v>439</v>
      </c>
      <c r="O2" s="151" t="s">
        <v>444</v>
      </c>
      <c r="P2" s="151" t="s">
        <v>442</v>
      </c>
      <c r="Q2" s="151" t="s">
        <v>447</v>
      </c>
      <c r="R2" s="151"/>
      <c r="S2" s="151" t="s">
        <v>448</v>
      </c>
      <c r="T2" s="151"/>
      <c r="U2" s="151" t="s">
        <v>440</v>
      </c>
      <c r="V2" s="151" t="s">
        <v>441</v>
      </c>
    </row>
    <row r="3" spans="1:22" s="93" customFormat="1" ht="20.100000000000001" customHeight="1" x14ac:dyDescent="0.6">
      <c r="A3" s="96">
        <v>1</v>
      </c>
      <c r="B3" s="96" t="s">
        <v>362</v>
      </c>
      <c r="C3" s="96" t="s">
        <v>363</v>
      </c>
      <c r="D3" s="96">
        <v>60</v>
      </c>
      <c r="E3" s="97">
        <v>120000</v>
      </c>
      <c r="F3" s="97">
        <v>100000</v>
      </c>
      <c r="G3" s="97">
        <v>100000</v>
      </c>
      <c r="H3" s="97">
        <v>350000</v>
      </c>
      <c r="I3" s="96" t="s">
        <v>454</v>
      </c>
      <c r="J3" s="157">
        <v>180000</v>
      </c>
      <c r="K3" s="157">
        <f>J3-180000</f>
        <v>0</v>
      </c>
      <c r="L3" s="30">
        <f>E3*1.3</f>
        <v>156000</v>
      </c>
      <c r="M3" s="30">
        <f>P3+R3+T3+U3</f>
        <v>0</v>
      </c>
      <c r="N3" s="30"/>
      <c r="O3" s="30"/>
      <c r="P3" s="30"/>
      <c r="Q3" s="30"/>
      <c r="R3" s="30">
        <f>(O3-3)*Q3</f>
        <v>0</v>
      </c>
      <c r="S3" s="30"/>
      <c r="T3" s="30">
        <f>(192-95)*S3</f>
        <v>0</v>
      </c>
      <c r="U3" s="30"/>
      <c r="V3" s="30"/>
    </row>
    <row r="4" spans="1:22" s="93" customFormat="1" ht="20.100000000000001" customHeight="1" x14ac:dyDescent="0.6">
      <c r="A4" s="100"/>
      <c r="B4" s="100" t="s">
        <v>364</v>
      </c>
      <c r="C4" s="100" t="s">
        <v>378</v>
      </c>
      <c r="D4" s="100">
        <v>30</v>
      </c>
      <c r="E4" s="101">
        <v>120000</v>
      </c>
      <c r="F4" s="101">
        <v>100000</v>
      </c>
      <c r="G4" s="101">
        <v>100000</v>
      </c>
      <c r="H4" s="101">
        <v>350000</v>
      </c>
      <c r="I4" s="100" t="s">
        <v>454</v>
      </c>
      <c r="J4" s="157">
        <v>180000</v>
      </c>
      <c r="K4" s="157">
        <f t="shared" ref="K4:K67" si="0">J4-180000</f>
        <v>0</v>
      </c>
      <c r="L4" s="30">
        <f>E4*1.3</f>
        <v>156000</v>
      </c>
    </row>
    <row r="5" spans="1:22" s="93" customFormat="1" ht="20.100000000000001" customHeight="1" x14ac:dyDescent="0.6">
      <c r="A5" s="100"/>
      <c r="B5" s="100" t="s">
        <v>364</v>
      </c>
      <c r="C5" s="100" t="s">
        <v>368</v>
      </c>
      <c r="D5" s="100">
        <v>35</v>
      </c>
      <c r="E5" s="101">
        <v>120000</v>
      </c>
      <c r="F5" s="101">
        <v>120000</v>
      </c>
      <c r="G5" s="101">
        <v>120000</v>
      </c>
      <c r="H5" s="101">
        <v>350000</v>
      </c>
      <c r="I5" s="100" t="s">
        <v>456</v>
      </c>
      <c r="J5" s="157">
        <v>180000</v>
      </c>
      <c r="K5" s="157">
        <f t="shared" si="0"/>
        <v>0</v>
      </c>
      <c r="L5" s="30">
        <f>E5*1.3</f>
        <v>156000</v>
      </c>
    </row>
    <row r="6" spans="1:22" s="93" customFormat="1" ht="20.100000000000001" customHeight="1" x14ac:dyDescent="0.6">
      <c r="A6" s="100"/>
      <c r="B6" s="100" t="s">
        <v>364</v>
      </c>
      <c r="C6" s="100" t="s">
        <v>377</v>
      </c>
      <c r="D6" s="100">
        <v>40</v>
      </c>
      <c r="E6" s="101">
        <v>120000</v>
      </c>
      <c r="F6" s="101">
        <v>100000</v>
      </c>
      <c r="G6" s="101">
        <v>100000</v>
      </c>
      <c r="H6" s="101">
        <v>350000</v>
      </c>
      <c r="I6" s="100" t="s">
        <v>454</v>
      </c>
      <c r="J6" s="157">
        <v>180000</v>
      </c>
      <c r="K6" s="157">
        <f t="shared" si="0"/>
        <v>0</v>
      </c>
      <c r="L6" s="30">
        <f>E6*1.3</f>
        <v>156000</v>
      </c>
    </row>
    <row r="7" spans="1:22" s="93" customFormat="1" ht="20.100000000000001" customHeight="1" x14ac:dyDescent="0.6">
      <c r="A7" s="100"/>
      <c r="B7" s="100" t="s">
        <v>364</v>
      </c>
      <c r="C7" s="100" t="s">
        <v>366</v>
      </c>
      <c r="D7" s="100">
        <v>45</v>
      </c>
      <c r="E7" s="101">
        <v>120000</v>
      </c>
      <c r="F7" s="101">
        <v>120000</v>
      </c>
      <c r="G7" s="101">
        <v>120000</v>
      </c>
      <c r="H7" s="101">
        <v>350000</v>
      </c>
      <c r="I7" s="100" t="s">
        <v>456</v>
      </c>
      <c r="J7" s="157">
        <v>180000</v>
      </c>
      <c r="K7" s="157">
        <f t="shared" si="0"/>
        <v>0</v>
      </c>
      <c r="L7" s="30">
        <f t="shared" ref="L7:L70" si="1">E7*1.3</f>
        <v>156000</v>
      </c>
    </row>
    <row r="8" spans="1:22" s="93" customFormat="1" ht="20.100000000000001" customHeight="1" x14ac:dyDescent="0.6">
      <c r="A8" s="100"/>
      <c r="B8" s="100" t="s">
        <v>364</v>
      </c>
      <c r="C8" s="100" t="s">
        <v>367</v>
      </c>
      <c r="D8" s="100">
        <v>45</v>
      </c>
      <c r="E8" s="101">
        <v>120000</v>
      </c>
      <c r="F8" s="101">
        <v>120000</v>
      </c>
      <c r="G8" s="101">
        <v>120000</v>
      </c>
      <c r="H8" s="101">
        <v>350000</v>
      </c>
      <c r="I8" s="100" t="s">
        <v>456</v>
      </c>
      <c r="J8" s="157">
        <v>180000</v>
      </c>
      <c r="K8" s="157">
        <f t="shared" si="0"/>
        <v>0</v>
      </c>
      <c r="L8" s="30">
        <f t="shared" si="1"/>
        <v>156000</v>
      </c>
    </row>
    <row r="9" spans="1:22" s="93" customFormat="1" ht="20.100000000000001" customHeight="1" x14ac:dyDescent="0.6">
      <c r="A9" s="98"/>
      <c r="B9" s="98" t="s">
        <v>364</v>
      </c>
      <c r="C9" s="98" t="s">
        <v>365</v>
      </c>
      <c r="D9" s="98">
        <v>47</v>
      </c>
      <c r="E9" s="101">
        <v>120000</v>
      </c>
      <c r="F9" s="101">
        <v>120000</v>
      </c>
      <c r="G9" s="101">
        <v>120000</v>
      </c>
      <c r="H9" s="101">
        <v>350000</v>
      </c>
      <c r="I9" s="100" t="s">
        <v>456</v>
      </c>
      <c r="J9" s="157">
        <v>180000</v>
      </c>
      <c r="K9" s="157">
        <f t="shared" si="0"/>
        <v>0</v>
      </c>
      <c r="L9" s="30">
        <f>E9*1.3</f>
        <v>156000</v>
      </c>
    </row>
    <row r="10" spans="1:22" s="93" customFormat="1" ht="20.100000000000001" customHeight="1" x14ac:dyDescent="0.6">
      <c r="A10" s="100"/>
      <c r="B10" s="100" t="s">
        <v>364</v>
      </c>
      <c r="C10" s="179" t="s">
        <v>380</v>
      </c>
      <c r="D10" s="179">
        <v>52</v>
      </c>
      <c r="E10" s="180">
        <v>140000</v>
      </c>
      <c r="F10" s="101">
        <v>120000</v>
      </c>
      <c r="G10" s="101">
        <v>120000</v>
      </c>
      <c r="H10" s="101">
        <v>400000</v>
      </c>
      <c r="I10" s="100" t="s">
        <v>457</v>
      </c>
      <c r="J10" s="184">
        <v>220000</v>
      </c>
      <c r="K10" s="184">
        <f t="shared" si="0"/>
        <v>40000</v>
      </c>
      <c r="L10" s="30">
        <f>E10*1.3</f>
        <v>182000</v>
      </c>
    </row>
    <row r="11" spans="1:22" s="93" customFormat="1" ht="20.100000000000001" customHeight="1" x14ac:dyDescent="0.6">
      <c r="A11" s="100"/>
      <c r="B11" s="100" t="s">
        <v>364</v>
      </c>
      <c r="C11" s="100" t="s">
        <v>369</v>
      </c>
      <c r="D11" s="100">
        <v>55</v>
      </c>
      <c r="E11" s="101">
        <v>120000</v>
      </c>
      <c r="F11" s="101">
        <v>120000</v>
      </c>
      <c r="G11" s="101">
        <v>120000</v>
      </c>
      <c r="H11" s="101">
        <v>350000</v>
      </c>
      <c r="I11" s="100" t="s">
        <v>456</v>
      </c>
      <c r="J11" s="157">
        <v>180000</v>
      </c>
      <c r="K11" s="157">
        <f t="shared" si="0"/>
        <v>0</v>
      </c>
      <c r="L11" s="30">
        <f t="shared" si="1"/>
        <v>156000</v>
      </c>
    </row>
    <row r="12" spans="1:22" s="93" customFormat="1" ht="20.100000000000001" customHeight="1" x14ac:dyDescent="0.6">
      <c r="A12" s="100"/>
      <c r="B12" s="100" t="s">
        <v>364</v>
      </c>
      <c r="C12" s="100" t="s">
        <v>370</v>
      </c>
      <c r="D12" s="100">
        <v>55</v>
      </c>
      <c r="E12" s="101">
        <v>120000</v>
      </c>
      <c r="F12" s="101">
        <v>120000</v>
      </c>
      <c r="G12" s="101">
        <v>120000</v>
      </c>
      <c r="H12" s="101">
        <v>350000</v>
      </c>
      <c r="I12" s="100" t="s">
        <v>456</v>
      </c>
      <c r="J12" s="157">
        <v>180000</v>
      </c>
      <c r="K12" s="157">
        <f t="shared" si="0"/>
        <v>0</v>
      </c>
      <c r="L12" s="30">
        <f t="shared" si="1"/>
        <v>156000</v>
      </c>
    </row>
    <row r="13" spans="1:22" s="93" customFormat="1" ht="20.100000000000001" customHeight="1" x14ac:dyDescent="0.6">
      <c r="A13" s="100"/>
      <c r="B13" s="100" t="s">
        <v>364</v>
      </c>
      <c r="C13" s="179" t="s">
        <v>379</v>
      </c>
      <c r="D13" s="179">
        <v>58</v>
      </c>
      <c r="E13" s="181">
        <v>140000</v>
      </c>
      <c r="F13" s="167">
        <v>120000</v>
      </c>
      <c r="G13" s="167">
        <v>120000</v>
      </c>
      <c r="H13" s="167">
        <v>400000</v>
      </c>
      <c r="I13" s="100" t="s">
        <v>457</v>
      </c>
      <c r="J13" s="184">
        <v>220000</v>
      </c>
      <c r="K13" s="184">
        <f t="shared" si="0"/>
        <v>40000</v>
      </c>
      <c r="L13" s="30">
        <f>E13*1.3</f>
        <v>182000</v>
      </c>
    </row>
    <row r="14" spans="1:22" s="93" customFormat="1" ht="20.100000000000001" customHeight="1" x14ac:dyDescent="0.6">
      <c r="A14" s="100"/>
      <c r="B14" s="100" t="s">
        <v>364</v>
      </c>
      <c r="C14" s="100" t="s">
        <v>371</v>
      </c>
      <c r="D14" s="100">
        <v>60</v>
      </c>
      <c r="E14" s="168">
        <v>120000</v>
      </c>
      <c r="F14" s="168">
        <v>120000</v>
      </c>
      <c r="G14" s="168">
        <v>120000</v>
      </c>
      <c r="H14" s="168">
        <v>350000</v>
      </c>
      <c r="I14" s="100" t="s">
        <v>456</v>
      </c>
      <c r="J14" s="157">
        <v>180000</v>
      </c>
      <c r="K14" s="157">
        <f t="shared" si="0"/>
        <v>0</v>
      </c>
      <c r="L14" s="30">
        <f t="shared" si="1"/>
        <v>156000</v>
      </c>
    </row>
    <row r="15" spans="1:22" s="93" customFormat="1" ht="20.100000000000001" customHeight="1" x14ac:dyDescent="0.6">
      <c r="A15" s="100"/>
      <c r="B15" s="100" t="s">
        <v>364</v>
      </c>
      <c r="C15" s="100" t="s">
        <v>372</v>
      </c>
      <c r="D15" s="100">
        <v>60</v>
      </c>
      <c r="E15" s="168">
        <v>120000</v>
      </c>
      <c r="F15" s="168">
        <v>120000</v>
      </c>
      <c r="G15" s="168">
        <v>120000</v>
      </c>
      <c r="H15" s="168">
        <v>350000</v>
      </c>
      <c r="I15" s="100" t="s">
        <v>456</v>
      </c>
      <c r="J15" s="157">
        <v>180000</v>
      </c>
      <c r="K15" s="157">
        <f t="shared" si="0"/>
        <v>0</v>
      </c>
      <c r="L15" s="30">
        <f t="shared" si="1"/>
        <v>156000</v>
      </c>
    </row>
    <row r="16" spans="1:22" s="93" customFormat="1" ht="20.100000000000001" customHeight="1" x14ac:dyDescent="0.6">
      <c r="A16" s="100"/>
      <c r="B16" s="100" t="s">
        <v>364</v>
      </c>
      <c r="C16" s="166" t="s">
        <v>376</v>
      </c>
      <c r="D16" s="166">
        <v>65</v>
      </c>
      <c r="E16" s="182">
        <v>140000</v>
      </c>
      <c r="F16" s="101">
        <v>120000</v>
      </c>
      <c r="G16" s="101">
        <v>120000</v>
      </c>
      <c r="H16" s="168">
        <v>350000</v>
      </c>
      <c r="I16" s="166" t="s">
        <v>459</v>
      </c>
      <c r="J16" s="183">
        <v>220000</v>
      </c>
      <c r="K16" s="183">
        <f t="shared" si="0"/>
        <v>40000</v>
      </c>
      <c r="L16" s="30">
        <f>E16*1.3</f>
        <v>182000</v>
      </c>
    </row>
    <row r="17" spans="1:12" s="93" customFormat="1" ht="20.100000000000001" customHeight="1" x14ac:dyDescent="0.6">
      <c r="A17" s="100"/>
      <c r="B17" s="100" t="s">
        <v>364</v>
      </c>
      <c r="C17" s="179" t="s">
        <v>387</v>
      </c>
      <c r="D17" s="179">
        <v>65</v>
      </c>
      <c r="E17" s="180">
        <v>120000</v>
      </c>
      <c r="F17" s="101">
        <v>100000</v>
      </c>
      <c r="G17" s="101">
        <v>100000</v>
      </c>
      <c r="H17" s="167">
        <v>400000</v>
      </c>
      <c r="I17" s="100" t="s">
        <v>457</v>
      </c>
      <c r="J17" s="184">
        <v>220000</v>
      </c>
      <c r="K17" s="184">
        <f t="shared" si="0"/>
        <v>40000</v>
      </c>
      <c r="L17" s="30">
        <f>E17*1.3</f>
        <v>156000</v>
      </c>
    </row>
    <row r="18" spans="1:12" s="93" customFormat="1" ht="20.100000000000001" customHeight="1" x14ac:dyDescent="0.6">
      <c r="A18" s="100"/>
      <c r="B18" s="100" t="s">
        <v>364</v>
      </c>
      <c r="C18" s="179" t="s">
        <v>381</v>
      </c>
      <c r="D18" s="179">
        <v>67</v>
      </c>
      <c r="E18" s="181">
        <v>150000</v>
      </c>
      <c r="F18" s="167">
        <v>130000</v>
      </c>
      <c r="G18" s="167">
        <v>130000</v>
      </c>
      <c r="H18" s="167">
        <v>400000</v>
      </c>
      <c r="I18" s="100" t="s">
        <v>457</v>
      </c>
      <c r="J18" s="184">
        <v>220000</v>
      </c>
      <c r="K18" s="184">
        <f t="shared" si="0"/>
        <v>40000</v>
      </c>
      <c r="L18" s="30">
        <f>E18*1.3</f>
        <v>195000</v>
      </c>
    </row>
    <row r="19" spans="1:12" s="93" customFormat="1" ht="20.100000000000001" customHeight="1" x14ac:dyDescent="0.6">
      <c r="A19" s="100"/>
      <c r="B19" s="100" t="s">
        <v>364</v>
      </c>
      <c r="C19" s="179" t="s">
        <v>373</v>
      </c>
      <c r="D19" s="179">
        <v>75</v>
      </c>
      <c r="E19" s="180">
        <v>140000</v>
      </c>
      <c r="F19" s="101">
        <v>120000</v>
      </c>
      <c r="G19" s="101">
        <v>120000</v>
      </c>
      <c r="H19" s="168">
        <v>350000</v>
      </c>
      <c r="I19" s="100" t="s">
        <v>457</v>
      </c>
      <c r="J19" s="184">
        <v>220000</v>
      </c>
      <c r="K19" s="184">
        <f t="shared" si="0"/>
        <v>40000</v>
      </c>
      <c r="L19" s="30">
        <f t="shared" si="1"/>
        <v>182000</v>
      </c>
    </row>
    <row r="20" spans="1:12" s="93" customFormat="1" ht="20.100000000000001" customHeight="1" x14ac:dyDescent="0.6">
      <c r="A20" s="100"/>
      <c r="B20" s="100" t="s">
        <v>364</v>
      </c>
      <c r="C20" s="179" t="s">
        <v>374</v>
      </c>
      <c r="D20" s="179">
        <v>75</v>
      </c>
      <c r="E20" s="181">
        <v>130000</v>
      </c>
      <c r="F20" s="167">
        <v>110000</v>
      </c>
      <c r="G20" s="167">
        <v>110000</v>
      </c>
      <c r="H20" s="168">
        <v>350000</v>
      </c>
      <c r="I20" s="100" t="s">
        <v>457</v>
      </c>
      <c r="J20" s="184">
        <v>220000</v>
      </c>
      <c r="K20" s="184">
        <f t="shared" si="0"/>
        <v>40000</v>
      </c>
      <c r="L20" s="30">
        <f t="shared" si="1"/>
        <v>169000</v>
      </c>
    </row>
    <row r="21" spans="1:12" s="93" customFormat="1" ht="20.100000000000001" customHeight="1" x14ac:dyDescent="0.6">
      <c r="A21" s="100"/>
      <c r="B21" s="100" t="s">
        <v>364</v>
      </c>
      <c r="C21" s="186" t="s">
        <v>385</v>
      </c>
      <c r="D21" s="186">
        <v>75</v>
      </c>
      <c r="E21" s="189">
        <v>180000</v>
      </c>
      <c r="F21" s="167">
        <v>160000</v>
      </c>
      <c r="G21" s="167">
        <v>160000</v>
      </c>
      <c r="H21" s="167">
        <v>400000</v>
      </c>
      <c r="I21" s="100"/>
      <c r="J21" s="188">
        <v>230000</v>
      </c>
      <c r="K21" s="188">
        <f t="shared" si="0"/>
        <v>50000</v>
      </c>
      <c r="L21" s="30">
        <f>E21*1.3</f>
        <v>234000</v>
      </c>
    </row>
    <row r="22" spans="1:12" s="93" customFormat="1" ht="20.100000000000001" customHeight="1" x14ac:dyDescent="0.6">
      <c r="A22" s="100"/>
      <c r="B22" s="100" t="s">
        <v>364</v>
      </c>
      <c r="C22" s="179" t="s">
        <v>388</v>
      </c>
      <c r="D22" s="179">
        <v>80</v>
      </c>
      <c r="E22" s="180">
        <v>130000</v>
      </c>
      <c r="F22" s="101">
        <v>110000</v>
      </c>
      <c r="G22" s="101">
        <v>110000</v>
      </c>
      <c r="H22" s="167">
        <v>400000</v>
      </c>
      <c r="I22" s="100" t="s">
        <v>457</v>
      </c>
      <c r="J22" s="184">
        <v>220000</v>
      </c>
      <c r="K22" s="184">
        <f t="shared" si="0"/>
        <v>40000</v>
      </c>
      <c r="L22" s="30">
        <f>E22*1.3</f>
        <v>169000</v>
      </c>
    </row>
    <row r="23" spans="1:12" s="93" customFormat="1" ht="20.100000000000001" customHeight="1" x14ac:dyDescent="0.6">
      <c r="A23" s="100"/>
      <c r="B23" s="100" t="s">
        <v>364</v>
      </c>
      <c r="C23" s="186" t="s">
        <v>383</v>
      </c>
      <c r="D23" s="186">
        <v>80</v>
      </c>
      <c r="E23" s="187">
        <v>170000</v>
      </c>
      <c r="F23" s="101">
        <v>150000</v>
      </c>
      <c r="G23" s="101">
        <v>150000</v>
      </c>
      <c r="H23" s="167">
        <v>400000</v>
      </c>
      <c r="I23" s="100"/>
      <c r="J23" s="188">
        <v>230000</v>
      </c>
      <c r="K23" s="188">
        <f t="shared" si="0"/>
        <v>50000</v>
      </c>
      <c r="L23" s="30">
        <f>E23*1.3</f>
        <v>221000</v>
      </c>
    </row>
    <row r="24" spans="1:12" s="93" customFormat="1" ht="20.100000000000001" customHeight="1" x14ac:dyDescent="0.6">
      <c r="A24" s="100"/>
      <c r="B24" s="100" t="s">
        <v>364</v>
      </c>
      <c r="C24" s="179" t="s">
        <v>382</v>
      </c>
      <c r="D24" s="179">
        <v>84</v>
      </c>
      <c r="E24" s="181">
        <v>150000</v>
      </c>
      <c r="F24" s="167">
        <v>130000</v>
      </c>
      <c r="G24" s="167">
        <v>130000</v>
      </c>
      <c r="H24" s="167">
        <v>400000</v>
      </c>
      <c r="I24" s="100" t="s">
        <v>457</v>
      </c>
      <c r="J24" s="184">
        <v>220000</v>
      </c>
      <c r="K24" s="184">
        <f t="shared" si="0"/>
        <v>40000</v>
      </c>
      <c r="L24" s="30">
        <f t="shared" si="1"/>
        <v>195000</v>
      </c>
    </row>
    <row r="25" spans="1:12" s="93" customFormat="1" ht="20.100000000000001" customHeight="1" x14ac:dyDescent="0.6">
      <c r="A25" s="100"/>
      <c r="B25" s="100" t="s">
        <v>364</v>
      </c>
      <c r="C25" s="179" t="s">
        <v>375</v>
      </c>
      <c r="D25" s="179">
        <v>85</v>
      </c>
      <c r="E25" s="181">
        <v>130000</v>
      </c>
      <c r="F25" s="167">
        <v>110000</v>
      </c>
      <c r="G25" s="167">
        <v>110000</v>
      </c>
      <c r="H25" s="168">
        <v>350000</v>
      </c>
      <c r="I25" s="100" t="s">
        <v>457</v>
      </c>
      <c r="J25" s="184">
        <v>220000</v>
      </c>
      <c r="K25" s="184">
        <f t="shared" si="0"/>
        <v>40000</v>
      </c>
      <c r="L25" s="30">
        <f>E25*1.3</f>
        <v>169000</v>
      </c>
    </row>
    <row r="26" spans="1:12" s="93" customFormat="1" ht="20.100000000000001" customHeight="1" x14ac:dyDescent="0.6">
      <c r="A26" s="100"/>
      <c r="B26" s="100" t="s">
        <v>364</v>
      </c>
      <c r="C26" s="179" t="s">
        <v>391</v>
      </c>
      <c r="D26" s="179">
        <v>93</v>
      </c>
      <c r="E26" s="180">
        <v>140000</v>
      </c>
      <c r="F26" s="101">
        <v>120000</v>
      </c>
      <c r="G26" s="101">
        <v>120000</v>
      </c>
      <c r="H26" s="167">
        <v>400000</v>
      </c>
      <c r="I26" s="100" t="s">
        <v>457</v>
      </c>
      <c r="J26" s="184">
        <v>220000</v>
      </c>
      <c r="K26" s="184">
        <f t="shared" si="0"/>
        <v>40000</v>
      </c>
      <c r="L26" s="30">
        <f>E26*1.3</f>
        <v>182000</v>
      </c>
    </row>
    <row r="27" spans="1:12" s="93" customFormat="1" ht="20.100000000000001" customHeight="1" x14ac:dyDescent="0.6">
      <c r="A27" s="100"/>
      <c r="B27" s="100" t="s">
        <v>364</v>
      </c>
      <c r="C27" s="186" t="s">
        <v>389</v>
      </c>
      <c r="D27" s="186">
        <v>100</v>
      </c>
      <c r="E27" s="187">
        <v>150000</v>
      </c>
      <c r="F27" s="101">
        <v>130000</v>
      </c>
      <c r="G27" s="101">
        <v>130000</v>
      </c>
      <c r="H27" s="167">
        <v>400000</v>
      </c>
      <c r="I27" s="100"/>
      <c r="J27" s="188">
        <v>230000</v>
      </c>
      <c r="K27" s="188">
        <f t="shared" si="0"/>
        <v>50000</v>
      </c>
      <c r="L27" s="30">
        <f>E27*1.3</f>
        <v>195000</v>
      </c>
    </row>
    <row r="28" spans="1:12" s="93" customFormat="1" ht="20.100000000000001" customHeight="1" x14ac:dyDescent="0.6">
      <c r="A28" s="100"/>
      <c r="B28" s="100" t="s">
        <v>364</v>
      </c>
      <c r="C28" s="186" t="s">
        <v>390</v>
      </c>
      <c r="D28" s="186">
        <v>100</v>
      </c>
      <c r="E28" s="187">
        <v>160000</v>
      </c>
      <c r="F28" s="101">
        <v>140000</v>
      </c>
      <c r="G28" s="101">
        <v>140000</v>
      </c>
      <c r="H28" s="167">
        <v>400000</v>
      </c>
      <c r="I28" s="100"/>
      <c r="J28" s="188">
        <v>230000</v>
      </c>
      <c r="K28" s="188">
        <f t="shared" si="0"/>
        <v>50000</v>
      </c>
      <c r="L28" s="30">
        <f>E28*1.3</f>
        <v>208000</v>
      </c>
    </row>
    <row r="29" spans="1:12" s="93" customFormat="1" ht="20.100000000000001" customHeight="1" x14ac:dyDescent="0.6">
      <c r="A29" s="100"/>
      <c r="B29" s="100" t="s">
        <v>364</v>
      </c>
      <c r="C29" s="186" t="s">
        <v>394</v>
      </c>
      <c r="D29" s="186">
        <v>102</v>
      </c>
      <c r="E29" s="187">
        <v>160000</v>
      </c>
      <c r="F29" s="101">
        <v>140000</v>
      </c>
      <c r="G29" s="101">
        <v>140000</v>
      </c>
      <c r="H29" s="167">
        <v>400000</v>
      </c>
      <c r="I29" s="100"/>
      <c r="J29" s="188">
        <v>230000</v>
      </c>
      <c r="K29" s="188">
        <f t="shared" si="0"/>
        <v>50000</v>
      </c>
      <c r="L29" s="30">
        <f>E29*1.3</f>
        <v>208000</v>
      </c>
    </row>
    <row r="30" spans="1:12" s="93" customFormat="1" ht="20.100000000000001" customHeight="1" x14ac:dyDescent="0.6">
      <c r="A30" s="100"/>
      <c r="B30" s="100" t="s">
        <v>364</v>
      </c>
      <c r="C30" s="100" t="s">
        <v>386</v>
      </c>
      <c r="D30" s="100">
        <v>112</v>
      </c>
      <c r="E30" s="167">
        <v>180000</v>
      </c>
      <c r="F30" s="167">
        <v>160000</v>
      </c>
      <c r="G30" s="167">
        <v>160000</v>
      </c>
      <c r="H30" s="167">
        <v>400000</v>
      </c>
      <c r="I30" s="100"/>
      <c r="J30" s="157"/>
      <c r="K30" s="157">
        <f t="shared" si="0"/>
        <v>-180000</v>
      </c>
      <c r="L30" s="30">
        <f>E30*1.3</f>
        <v>234000</v>
      </c>
    </row>
    <row r="31" spans="1:12" s="93" customFormat="1" ht="20.100000000000001" customHeight="1" x14ac:dyDescent="0.6">
      <c r="A31" s="100"/>
      <c r="B31" s="100" t="s">
        <v>364</v>
      </c>
      <c r="C31" s="100" t="s">
        <v>395</v>
      </c>
      <c r="D31" s="100">
        <v>119</v>
      </c>
      <c r="E31" s="167">
        <v>180000</v>
      </c>
      <c r="F31" s="167">
        <v>160000</v>
      </c>
      <c r="G31" s="167">
        <v>160000</v>
      </c>
      <c r="H31" s="167">
        <v>400000</v>
      </c>
      <c r="I31" s="100"/>
      <c r="J31" s="157"/>
      <c r="K31" s="157">
        <f t="shared" si="0"/>
        <v>-180000</v>
      </c>
      <c r="L31" s="30">
        <f>E31*1.3</f>
        <v>234000</v>
      </c>
    </row>
    <row r="32" spans="1:12" s="93" customFormat="1" ht="20.100000000000001" customHeight="1" x14ac:dyDescent="0.6">
      <c r="A32" s="100"/>
      <c r="B32" s="100" t="s">
        <v>364</v>
      </c>
      <c r="C32" s="100" t="s">
        <v>384</v>
      </c>
      <c r="D32" s="100">
        <v>121</v>
      </c>
      <c r="E32" s="167">
        <v>180000</v>
      </c>
      <c r="F32" s="167">
        <v>160000</v>
      </c>
      <c r="G32" s="167">
        <v>160000</v>
      </c>
      <c r="H32" s="167">
        <v>400000</v>
      </c>
      <c r="I32" s="100"/>
      <c r="J32" s="157"/>
      <c r="K32" s="157">
        <f t="shared" si="0"/>
        <v>-180000</v>
      </c>
      <c r="L32" s="30">
        <f t="shared" si="1"/>
        <v>234000</v>
      </c>
    </row>
    <row r="33" spans="1:12" s="93" customFormat="1" ht="20.100000000000001" customHeight="1" x14ac:dyDescent="0.6">
      <c r="A33" s="100"/>
      <c r="B33" s="100" t="s">
        <v>364</v>
      </c>
      <c r="C33" s="100" t="s">
        <v>393</v>
      </c>
      <c r="D33" s="100">
        <v>123</v>
      </c>
      <c r="E33" s="167">
        <v>180000</v>
      </c>
      <c r="F33" s="167">
        <v>160000</v>
      </c>
      <c r="G33" s="167">
        <v>160000</v>
      </c>
      <c r="H33" s="167">
        <v>400000</v>
      </c>
      <c r="I33" s="100"/>
      <c r="J33" s="157"/>
      <c r="K33" s="157">
        <f t="shared" si="0"/>
        <v>-180000</v>
      </c>
      <c r="L33" s="30">
        <f>E33*1.3</f>
        <v>234000</v>
      </c>
    </row>
    <row r="34" spans="1:12" s="93" customFormat="1" ht="20.100000000000001" customHeight="1" x14ac:dyDescent="0.6">
      <c r="A34" s="102"/>
      <c r="B34" s="102" t="s">
        <v>364</v>
      </c>
      <c r="C34" s="102" t="s">
        <v>396</v>
      </c>
      <c r="D34" s="102">
        <v>132</v>
      </c>
      <c r="E34" s="167">
        <v>180000</v>
      </c>
      <c r="F34" s="167">
        <v>160000</v>
      </c>
      <c r="G34" s="167">
        <v>160000</v>
      </c>
      <c r="H34" s="167">
        <v>400000</v>
      </c>
      <c r="I34" s="102"/>
      <c r="J34" s="157"/>
      <c r="K34" s="157">
        <f t="shared" si="0"/>
        <v>-180000</v>
      </c>
      <c r="L34" s="30">
        <f>E34*1.3</f>
        <v>234000</v>
      </c>
    </row>
    <row r="35" spans="1:12" s="93" customFormat="1" ht="20.100000000000001" customHeight="1" x14ac:dyDescent="0.6">
      <c r="A35" s="100"/>
      <c r="B35" s="100" t="s">
        <v>364</v>
      </c>
      <c r="C35" s="100" t="s">
        <v>392</v>
      </c>
      <c r="D35" s="100">
        <v>135</v>
      </c>
      <c r="E35" s="167">
        <v>180000</v>
      </c>
      <c r="F35" s="167">
        <v>160000</v>
      </c>
      <c r="G35" s="167">
        <v>160000</v>
      </c>
      <c r="H35" s="167">
        <v>400000</v>
      </c>
      <c r="I35" s="100"/>
      <c r="J35" s="157"/>
      <c r="K35" s="157">
        <f t="shared" si="0"/>
        <v>-180000</v>
      </c>
      <c r="L35" s="30">
        <f t="shared" si="1"/>
        <v>234000</v>
      </c>
    </row>
    <row r="36" spans="1:12" s="93" customFormat="1" ht="20.100000000000001" customHeight="1" x14ac:dyDescent="0.6">
      <c r="A36" s="106"/>
      <c r="B36" s="106" t="s">
        <v>397</v>
      </c>
      <c r="C36" s="106" t="s">
        <v>401</v>
      </c>
      <c r="D36" s="106">
        <v>172</v>
      </c>
      <c r="E36" s="169">
        <v>400000</v>
      </c>
      <c r="F36" s="169">
        <v>350000</v>
      </c>
      <c r="G36" s="169">
        <v>350000</v>
      </c>
      <c r="H36" s="169">
        <v>450000</v>
      </c>
      <c r="I36" s="106"/>
      <c r="J36" s="157"/>
      <c r="K36" s="157">
        <f t="shared" si="0"/>
        <v>-180000</v>
      </c>
      <c r="L36" s="30">
        <f>E36*1.3</f>
        <v>520000</v>
      </c>
    </row>
    <row r="37" spans="1:12" s="93" customFormat="1" ht="20.100000000000001" customHeight="1" x14ac:dyDescent="0.6">
      <c r="A37" s="104"/>
      <c r="B37" s="104" t="s">
        <v>397</v>
      </c>
      <c r="C37" s="104" t="s">
        <v>398</v>
      </c>
      <c r="D37" s="104">
        <v>174</v>
      </c>
      <c r="E37" s="170">
        <v>400000</v>
      </c>
      <c r="F37" s="170">
        <v>350000</v>
      </c>
      <c r="G37" s="170">
        <v>350000</v>
      </c>
      <c r="H37" s="170">
        <v>450000</v>
      </c>
      <c r="I37" s="104"/>
      <c r="J37" s="157"/>
      <c r="K37" s="157">
        <f t="shared" si="0"/>
        <v>-180000</v>
      </c>
      <c r="L37" s="30">
        <f t="shared" si="1"/>
        <v>520000</v>
      </c>
    </row>
    <row r="38" spans="1:12" s="93" customFormat="1" ht="20.100000000000001" customHeight="1" x14ac:dyDescent="0.6">
      <c r="A38" s="108"/>
      <c r="B38" s="108" t="s">
        <v>397</v>
      </c>
      <c r="C38" s="108" t="s">
        <v>402</v>
      </c>
      <c r="D38" s="108">
        <v>195</v>
      </c>
      <c r="E38" s="169">
        <v>400000</v>
      </c>
      <c r="F38" s="169">
        <v>350000</v>
      </c>
      <c r="G38" s="169">
        <v>350000</v>
      </c>
      <c r="H38" s="169">
        <v>450000</v>
      </c>
      <c r="I38" s="108"/>
      <c r="J38" s="157"/>
      <c r="K38" s="157">
        <f t="shared" si="0"/>
        <v>-180000</v>
      </c>
      <c r="L38" s="30">
        <f>E38*1.3</f>
        <v>520000</v>
      </c>
    </row>
    <row r="39" spans="1:12" s="93" customFormat="1" ht="20.100000000000001" customHeight="1" x14ac:dyDescent="0.6">
      <c r="A39" s="106"/>
      <c r="B39" s="106" t="s">
        <v>397</v>
      </c>
      <c r="C39" s="106" t="s">
        <v>399</v>
      </c>
      <c r="D39" s="106">
        <v>199</v>
      </c>
      <c r="E39" s="170">
        <v>400000</v>
      </c>
      <c r="F39" s="170">
        <v>350000</v>
      </c>
      <c r="G39" s="170">
        <v>350000</v>
      </c>
      <c r="H39" s="170">
        <v>450000</v>
      </c>
      <c r="I39" s="106"/>
      <c r="J39" s="157"/>
      <c r="K39" s="157">
        <f t="shared" si="0"/>
        <v>-180000</v>
      </c>
      <c r="L39" s="30">
        <f t="shared" si="1"/>
        <v>520000</v>
      </c>
    </row>
    <row r="40" spans="1:12" s="93" customFormat="1" ht="20.100000000000001" customHeight="1" x14ac:dyDescent="0.6">
      <c r="A40" s="106"/>
      <c r="B40" s="106" t="s">
        <v>397</v>
      </c>
      <c r="C40" s="106" t="s">
        <v>400</v>
      </c>
      <c r="D40" s="106">
        <v>205</v>
      </c>
      <c r="E40" s="107">
        <v>450000</v>
      </c>
      <c r="F40" s="107">
        <v>400000</v>
      </c>
      <c r="G40" s="107">
        <v>400000</v>
      </c>
      <c r="H40" s="107">
        <v>500000</v>
      </c>
      <c r="I40" s="106"/>
      <c r="J40" s="157"/>
      <c r="K40" s="157">
        <f t="shared" si="0"/>
        <v>-180000</v>
      </c>
      <c r="L40" s="30">
        <f t="shared" si="1"/>
        <v>585000</v>
      </c>
    </row>
    <row r="41" spans="1:12" s="93" customFormat="1" ht="20.100000000000001" customHeight="1" x14ac:dyDescent="0.6">
      <c r="A41" s="112"/>
      <c r="B41" s="112" t="s">
        <v>403</v>
      </c>
      <c r="C41" s="112" t="s">
        <v>406</v>
      </c>
      <c r="D41" s="112">
        <v>115</v>
      </c>
      <c r="E41" s="171">
        <v>400000</v>
      </c>
      <c r="F41" s="171">
        <v>350000</v>
      </c>
      <c r="G41" s="171">
        <v>350000</v>
      </c>
      <c r="H41" s="171">
        <v>450000</v>
      </c>
      <c r="I41" s="112"/>
      <c r="J41" s="157"/>
      <c r="K41" s="157">
        <f t="shared" si="0"/>
        <v>-180000</v>
      </c>
      <c r="L41" s="30">
        <f>E41*1.3</f>
        <v>520000</v>
      </c>
    </row>
    <row r="42" spans="1:12" s="93" customFormat="1" ht="20.100000000000001" customHeight="1" x14ac:dyDescent="0.6">
      <c r="A42" s="112"/>
      <c r="B42" s="112" t="s">
        <v>403</v>
      </c>
      <c r="C42" s="112" t="s">
        <v>405</v>
      </c>
      <c r="D42" s="112">
        <v>117</v>
      </c>
      <c r="E42" s="171">
        <v>400000</v>
      </c>
      <c r="F42" s="171">
        <v>350000</v>
      </c>
      <c r="G42" s="171">
        <v>350000</v>
      </c>
      <c r="H42" s="171">
        <v>450000</v>
      </c>
      <c r="I42" s="112"/>
      <c r="J42" s="157"/>
      <c r="K42" s="157">
        <f t="shared" si="0"/>
        <v>-180000</v>
      </c>
      <c r="L42" s="30">
        <f>E42*1.3</f>
        <v>520000</v>
      </c>
    </row>
    <row r="43" spans="1:12" s="93" customFormat="1" ht="19.899999999999999" customHeight="1" x14ac:dyDescent="0.6">
      <c r="A43" s="110"/>
      <c r="B43" s="110" t="s">
        <v>403</v>
      </c>
      <c r="C43" s="110" t="s">
        <v>404</v>
      </c>
      <c r="D43" s="110">
        <v>136</v>
      </c>
      <c r="E43" s="171">
        <v>400000</v>
      </c>
      <c r="F43" s="171">
        <v>350000</v>
      </c>
      <c r="G43" s="171">
        <v>350000</v>
      </c>
      <c r="H43" s="171">
        <v>450000</v>
      </c>
      <c r="I43" s="110"/>
      <c r="J43" s="157"/>
      <c r="K43" s="157">
        <f t="shared" si="0"/>
        <v>-180000</v>
      </c>
      <c r="L43" s="30">
        <f t="shared" si="1"/>
        <v>520000</v>
      </c>
    </row>
    <row r="44" spans="1:12" s="93" customFormat="1" ht="20.100000000000001" customHeight="1" x14ac:dyDescent="0.6">
      <c r="A44" s="112"/>
      <c r="B44" s="112" t="s">
        <v>403</v>
      </c>
      <c r="C44" s="112" t="s">
        <v>407</v>
      </c>
      <c r="D44" s="112">
        <v>158</v>
      </c>
      <c r="E44" s="172">
        <v>450000</v>
      </c>
      <c r="F44" s="172">
        <v>400000</v>
      </c>
      <c r="G44" s="172">
        <v>400000</v>
      </c>
      <c r="H44" s="172">
        <v>500000</v>
      </c>
      <c r="I44" s="112"/>
      <c r="J44" s="157"/>
      <c r="K44" s="157">
        <f t="shared" si="0"/>
        <v>-180000</v>
      </c>
      <c r="L44" s="30">
        <f t="shared" si="1"/>
        <v>585000</v>
      </c>
    </row>
    <row r="45" spans="1:12" s="93" customFormat="1" ht="20.100000000000001" customHeight="1" x14ac:dyDescent="0.6">
      <c r="A45" s="114"/>
      <c r="B45" s="114" t="s">
        <v>403</v>
      </c>
      <c r="C45" s="114" t="s">
        <v>408</v>
      </c>
      <c r="D45" s="114">
        <v>205</v>
      </c>
      <c r="E45" s="172">
        <v>450000</v>
      </c>
      <c r="F45" s="172">
        <v>400000</v>
      </c>
      <c r="G45" s="172">
        <v>400000</v>
      </c>
      <c r="H45" s="172">
        <v>500000</v>
      </c>
      <c r="I45" s="114"/>
      <c r="J45" s="157"/>
      <c r="K45" s="157">
        <f t="shared" si="0"/>
        <v>-180000</v>
      </c>
      <c r="L45" s="30">
        <f t="shared" si="1"/>
        <v>585000</v>
      </c>
    </row>
    <row r="46" spans="1:12" s="93" customFormat="1" ht="20.100000000000001" customHeight="1" x14ac:dyDescent="0.6">
      <c r="A46" s="118"/>
      <c r="B46" s="118" t="s">
        <v>409</v>
      </c>
      <c r="C46" s="118" t="s">
        <v>411</v>
      </c>
      <c r="D46" s="118">
        <v>163</v>
      </c>
      <c r="E46" s="173">
        <v>400000</v>
      </c>
      <c r="F46" s="173">
        <v>350000</v>
      </c>
      <c r="G46" s="173">
        <v>350000</v>
      </c>
      <c r="H46" s="173">
        <v>450000</v>
      </c>
      <c r="I46" s="118"/>
      <c r="J46" s="157"/>
      <c r="K46" s="157">
        <f t="shared" si="0"/>
        <v>-180000</v>
      </c>
      <c r="L46" s="30">
        <f>E46*1.3</f>
        <v>520000</v>
      </c>
    </row>
    <row r="47" spans="1:12" s="93" customFormat="1" ht="20.100000000000001" customHeight="1" x14ac:dyDescent="0.6">
      <c r="A47" s="116"/>
      <c r="B47" s="116" t="s">
        <v>409</v>
      </c>
      <c r="C47" s="116" t="s">
        <v>410</v>
      </c>
      <c r="D47" s="116">
        <v>165</v>
      </c>
      <c r="E47" s="173">
        <v>400000</v>
      </c>
      <c r="F47" s="173">
        <v>350000</v>
      </c>
      <c r="G47" s="173">
        <v>350000</v>
      </c>
      <c r="H47" s="173">
        <v>450000</v>
      </c>
      <c r="I47" s="116"/>
      <c r="J47" s="157"/>
      <c r="K47" s="157">
        <f t="shared" si="0"/>
        <v>-180000</v>
      </c>
      <c r="L47" s="30">
        <f t="shared" si="1"/>
        <v>520000</v>
      </c>
    </row>
    <row r="48" spans="1:12" s="93" customFormat="1" ht="20.100000000000001" customHeight="1" x14ac:dyDescent="0.6">
      <c r="A48" s="118"/>
      <c r="B48" s="118" t="s">
        <v>409</v>
      </c>
      <c r="C48" s="118" t="s">
        <v>412</v>
      </c>
      <c r="D48" s="118">
        <v>165</v>
      </c>
      <c r="E48" s="173">
        <v>400000</v>
      </c>
      <c r="F48" s="173">
        <v>350000</v>
      </c>
      <c r="G48" s="173">
        <v>350000</v>
      </c>
      <c r="H48" s="173">
        <v>450000</v>
      </c>
      <c r="I48" s="118"/>
      <c r="J48" s="157"/>
      <c r="K48" s="157">
        <f t="shared" si="0"/>
        <v>-180000</v>
      </c>
      <c r="L48" s="30">
        <f t="shared" si="1"/>
        <v>520000</v>
      </c>
    </row>
    <row r="49" spans="1:12" s="93" customFormat="1" ht="20.100000000000001" customHeight="1" x14ac:dyDescent="0.6">
      <c r="A49" s="118"/>
      <c r="B49" s="118" t="s">
        <v>409</v>
      </c>
      <c r="C49" s="118" t="s">
        <v>413</v>
      </c>
      <c r="D49" s="118">
        <v>167</v>
      </c>
      <c r="E49" s="173">
        <v>400000</v>
      </c>
      <c r="F49" s="173">
        <v>350000</v>
      </c>
      <c r="G49" s="173">
        <v>350000</v>
      </c>
      <c r="H49" s="173">
        <v>450000</v>
      </c>
      <c r="I49" s="118"/>
      <c r="J49" s="157"/>
      <c r="K49" s="157">
        <f t="shared" si="0"/>
        <v>-180000</v>
      </c>
      <c r="L49" s="30">
        <f t="shared" si="1"/>
        <v>520000</v>
      </c>
    </row>
    <row r="50" spans="1:12" s="93" customFormat="1" ht="20.100000000000001" customHeight="1" x14ac:dyDescent="0.6">
      <c r="A50" s="118"/>
      <c r="B50" s="118" t="s">
        <v>409</v>
      </c>
      <c r="C50" s="118" t="s">
        <v>416</v>
      </c>
      <c r="D50" s="118">
        <v>237</v>
      </c>
      <c r="E50" s="174">
        <v>450000</v>
      </c>
      <c r="F50" s="174">
        <v>400000</v>
      </c>
      <c r="G50" s="174">
        <v>400000</v>
      </c>
      <c r="H50" s="174">
        <v>500000</v>
      </c>
      <c r="I50" s="118"/>
      <c r="J50" s="157"/>
      <c r="K50" s="157">
        <f t="shared" si="0"/>
        <v>-180000</v>
      </c>
      <c r="L50" s="30">
        <f>E50*1.3</f>
        <v>585000</v>
      </c>
    </row>
    <row r="51" spans="1:12" s="93" customFormat="1" ht="20.100000000000001" customHeight="1" x14ac:dyDescent="0.6">
      <c r="A51" s="118"/>
      <c r="B51" s="118" t="s">
        <v>409</v>
      </c>
      <c r="C51" s="118" t="s">
        <v>414</v>
      </c>
      <c r="D51" s="118">
        <v>250</v>
      </c>
      <c r="E51" s="174">
        <v>450000</v>
      </c>
      <c r="F51" s="174">
        <v>400000</v>
      </c>
      <c r="G51" s="174">
        <v>400000</v>
      </c>
      <c r="H51" s="174">
        <v>500000</v>
      </c>
      <c r="I51" s="118"/>
      <c r="J51" s="157"/>
      <c r="K51" s="157">
        <f t="shared" si="0"/>
        <v>-180000</v>
      </c>
      <c r="L51" s="30">
        <f t="shared" si="1"/>
        <v>585000</v>
      </c>
    </row>
    <row r="52" spans="1:12" s="93" customFormat="1" ht="20.100000000000001" customHeight="1" x14ac:dyDescent="0.6">
      <c r="A52" s="118"/>
      <c r="B52" s="118" t="s">
        <v>409</v>
      </c>
      <c r="C52" s="118" t="s">
        <v>415</v>
      </c>
      <c r="D52" s="118">
        <v>260</v>
      </c>
      <c r="E52" s="174">
        <v>450000</v>
      </c>
      <c r="F52" s="174">
        <v>400000</v>
      </c>
      <c r="G52" s="174">
        <v>400000</v>
      </c>
      <c r="H52" s="174">
        <v>500000</v>
      </c>
      <c r="I52" s="118"/>
      <c r="J52" s="157"/>
      <c r="K52" s="157">
        <f t="shared" si="0"/>
        <v>-180000</v>
      </c>
      <c r="L52" s="30">
        <f t="shared" si="1"/>
        <v>585000</v>
      </c>
    </row>
    <row r="53" spans="1:12" s="93" customFormat="1" ht="20.100000000000001" customHeight="1" x14ac:dyDescent="0.6">
      <c r="A53" s="120"/>
      <c r="B53" s="120" t="s">
        <v>409</v>
      </c>
      <c r="C53" s="120" t="s">
        <v>417</v>
      </c>
      <c r="D53" s="120">
        <v>273</v>
      </c>
      <c r="E53" s="174">
        <v>450000</v>
      </c>
      <c r="F53" s="174">
        <v>400000</v>
      </c>
      <c r="G53" s="174">
        <v>400000</v>
      </c>
      <c r="H53" s="174">
        <v>500000</v>
      </c>
      <c r="I53" s="120"/>
      <c r="J53" s="157"/>
      <c r="K53" s="157">
        <f t="shared" si="0"/>
        <v>-180000</v>
      </c>
      <c r="L53" s="30">
        <f t="shared" si="1"/>
        <v>585000</v>
      </c>
    </row>
    <row r="54" spans="1:12" s="93" customFormat="1" ht="20.100000000000001" customHeight="1" x14ac:dyDescent="0.6">
      <c r="A54" s="124"/>
      <c r="B54" s="124" t="s">
        <v>418</v>
      </c>
      <c r="C54" s="124" t="s">
        <v>420</v>
      </c>
      <c r="D54" s="124">
        <v>284</v>
      </c>
      <c r="E54" s="125">
        <v>450000</v>
      </c>
      <c r="F54" s="125">
        <v>400000</v>
      </c>
      <c r="G54" s="125">
        <v>400000</v>
      </c>
      <c r="H54" s="125">
        <v>500000</v>
      </c>
      <c r="I54" s="124"/>
      <c r="J54" s="157"/>
      <c r="K54" s="157">
        <f t="shared" si="0"/>
        <v>-180000</v>
      </c>
      <c r="L54" s="30">
        <f>E54*1.3</f>
        <v>585000</v>
      </c>
    </row>
    <row r="55" spans="1:12" s="93" customFormat="1" ht="20.100000000000001" customHeight="1" x14ac:dyDescent="0.6">
      <c r="A55" s="122"/>
      <c r="B55" s="122" t="s">
        <v>418</v>
      </c>
      <c r="C55" s="122" t="s">
        <v>419</v>
      </c>
      <c r="D55" s="122">
        <v>327</v>
      </c>
      <c r="E55" s="123">
        <v>500000</v>
      </c>
      <c r="F55" s="123">
        <v>450000</v>
      </c>
      <c r="G55" s="123">
        <v>450000</v>
      </c>
      <c r="H55" s="123">
        <v>550000</v>
      </c>
      <c r="I55" s="122"/>
      <c r="J55" s="157"/>
      <c r="K55" s="157">
        <f t="shared" si="0"/>
        <v>-180000</v>
      </c>
      <c r="L55" s="30">
        <f t="shared" si="1"/>
        <v>650000</v>
      </c>
    </row>
    <row r="56" spans="1:12" s="93" customFormat="1" ht="20.100000000000001" customHeight="1" x14ac:dyDescent="0.6">
      <c r="A56" s="124"/>
      <c r="B56" s="124" t="s">
        <v>418</v>
      </c>
      <c r="C56" s="124" t="s">
        <v>421</v>
      </c>
      <c r="D56" s="124">
        <v>369</v>
      </c>
      <c r="E56" s="175">
        <v>550000</v>
      </c>
      <c r="F56" s="175">
        <v>500000</v>
      </c>
      <c r="G56" s="175">
        <v>500000</v>
      </c>
      <c r="H56" s="175">
        <v>600000</v>
      </c>
      <c r="I56" s="124"/>
      <c r="J56" s="157"/>
      <c r="K56" s="157">
        <f t="shared" si="0"/>
        <v>-180000</v>
      </c>
      <c r="L56" s="30">
        <f t="shared" si="1"/>
        <v>715000</v>
      </c>
    </row>
    <row r="57" spans="1:12" s="93" customFormat="1" ht="20.100000000000001" customHeight="1" x14ac:dyDescent="0.6">
      <c r="A57" s="126"/>
      <c r="B57" s="126" t="s">
        <v>418</v>
      </c>
      <c r="C57" s="126" t="s">
        <v>422</v>
      </c>
      <c r="D57" s="126">
        <v>373</v>
      </c>
      <c r="E57" s="175">
        <v>550000</v>
      </c>
      <c r="F57" s="175">
        <v>500000</v>
      </c>
      <c r="G57" s="175">
        <v>500000</v>
      </c>
      <c r="H57" s="175">
        <v>600000</v>
      </c>
      <c r="I57" s="126"/>
      <c r="J57" s="157"/>
      <c r="K57" s="157">
        <f t="shared" si="0"/>
        <v>-180000</v>
      </c>
      <c r="L57" s="30">
        <f t="shared" si="1"/>
        <v>715000</v>
      </c>
    </row>
    <row r="58" spans="1:12" s="93" customFormat="1" ht="20.100000000000001" customHeight="1" x14ac:dyDescent="0.6">
      <c r="A58" s="130"/>
      <c r="B58" s="130" t="s">
        <v>423</v>
      </c>
      <c r="C58" s="130" t="s">
        <v>426</v>
      </c>
      <c r="D58" s="130">
        <v>375</v>
      </c>
      <c r="E58" s="176">
        <v>550000</v>
      </c>
      <c r="F58" s="176">
        <v>500000</v>
      </c>
      <c r="G58" s="176">
        <v>500000</v>
      </c>
      <c r="H58" s="176">
        <v>600000</v>
      </c>
      <c r="I58" s="130"/>
      <c r="J58" s="157"/>
      <c r="K58" s="157">
        <f t="shared" si="0"/>
        <v>-180000</v>
      </c>
      <c r="L58" s="30">
        <f>E58*1.3</f>
        <v>715000</v>
      </c>
    </row>
    <row r="59" spans="1:12" s="93" customFormat="1" ht="20.100000000000001" customHeight="1" x14ac:dyDescent="0.6">
      <c r="A59" s="132"/>
      <c r="B59" s="132" t="s">
        <v>423</v>
      </c>
      <c r="C59" s="132" t="s">
        <v>429</v>
      </c>
      <c r="D59" s="132">
        <v>384</v>
      </c>
      <c r="E59" s="133">
        <v>550000</v>
      </c>
      <c r="F59" s="133">
        <v>500000</v>
      </c>
      <c r="G59" s="133">
        <v>500000</v>
      </c>
      <c r="H59" s="133">
        <v>600000</v>
      </c>
      <c r="I59" s="132"/>
      <c r="J59" s="157"/>
      <c r="K59" s="157">
        <f t="shared" si="0"/>
        <v>-180000</v>
      </c>
      <c r="L59" s="30">
        <f>E59*1.3</f>
        <v>715000</v>
      </c>
    </row>
    <row r="60" spans="1:12" s="93" customFormat="1" ht="20.100000000000001" customHeight="1" x14ac:dyDescent="0.6">
      <c r="A60" s="130"/>
      <c r="B60" s="130" t="s">
        <v>423</v>
      </c>
      <c r="C60" s="130" t="s">
        <v>427</v>
      </c>
      <c r="D60" s="130">
        <v>409</v>
      </c>
      <c r="E60" s="176">
        <v>550000</v>
      </c>
      <c r="F60" s="176">
        <v>500000</v>
      </c>
      <c r="G60" s="176">
        <v>500000</v>
      </c>
      <c r="H60" s="176">
        <v>600000</v>
      </c>
      <c r="I60" s="130"/>
      <c r="J60" s="157"/>
      <c r="K60" s="157">
        <f t="shared" si="0"/>
        <v>-180000</v>
      </c>
      <c r="L60" s="30">
        <f>E60*1.3</f>
        <v>715000</v>
      </c>
    </row>
    <row r="61" spans="1:12" s="93" customFormat="1" ht="20.100000000000001" customHeight="1" x14ac:dyDescent="0.6">
      <c r="A61" s="128"/>
      <c r="B61" s="128" t="s">
        <v>423</v>
      </c>
      <c r="C61" s="128" t="s">
        <v>424</v>
      </c>
      <c r="D61" s="128">
        <v>411</v>
      </c>
      <c r="E61" s="129">
        <v>550000</v>
      </c>
      <c r="F61" s="129">
        <v>500000</v>
      </c>
      <c r="G61" s="129">
        <v>500000</v>
      </c>
      <c r="H61" s="129">
        <v>600000</v>
      </c>
      <c r="I61" s="128"/>
      <c r="J61" s="157"/>
      <c r="K61" s="157">
        <f t="shared" si="0"/>
        <v>-180000</v>
      </c>
      <c r="L61" s="30">
        <f t="shared" si="1"/>
        <v>715000</v>
      </c>
    </row>
    <row r="62" spans="1:12" s="93" customFormat="1" ht="20.100000000000001" customHeight="1" x14ac:dyDescent="0.6">
      <c r="A62" s="130"/>
      <c r="B62" s="130" t="s">
        <v>423</v>
      </c>
      <c r="C62" s="130" t="s">
        <v>425</v>
      </c>
      <c r="D62" s="130">
        <v>433</v>
      </c>
      <c r="E62" s="131">
        <v>650000</v>
      </c>
      <c r="F62" s="131">
        <v>600000</v>
      </c>
      <c r="G62" s="131">
        <v>600000</v>
      </c>
      <c r="H62" s="131">
        <v>700000</v>
      </c>
      <c r="I62" s="130"/>
      <c r="J62" s="157"/>
      <c r="K62" s="157">
        <f t="shared" si="0"/>
        <v>-180000</v>
      </c>
      <c r="L62" s="30">
        <f t="shared" si="1"/>
        <v>845000</v>
      </c>
    </row>
    <row r="63" spans="1:12" s="93" customFormat="1" ht="20.100000000000001" customHeight="1" x14ac:dyDescent="0.6">
      <c r="A63" s="130"/>
      <c r="B63" s="130" t="s">
        <v>423</v>
      </c>
      <c r="C63" s="130" t="s">
        <v>428</v>
      </c>
      <c r="D63" s="130">
        <v>437</v>
      </c>
      <c r="E63" s="131">
        <v>700000</v>
      </c>
      <c r="F63" s="131">
        <v>650000</v>
      </c>
      <c r="G63" s="131">
        <v>650000</v>
      </c>
      <c r="H63" s="131">
        <v>750000</v>
      </c>
      <c r="I63" s="130"/>
      <c r="J63" s="157"/>
      <c r="K63" s="157">
        <f t="shared" si="0"/>
        <v>-180000</v>
      </c>
      <c r="L63" s="30">
        <f t="shared" si="1"/>
        <v>910000</v>
      </c>
    </row>
    <row r="64" spans="1:12" s="93" customFormat="1" ht="20.100000000000001" customHeight="1" x14ac:dyDescent="0.6">
      <c r="A64" s="134"/>
      <c r="B64" s="134" t="s">
        <v>430</v>
      </c>
      <c r="C64" s="134" t="s">
        <v>431</v>
      </c>
      <c r="D64" s="134">
        <v>217</v>
      </c>
      <c r="E64" s="177">
        <v>450000</v>
      </c>
      <c r="F64" s="177">
        <v>400000</v>
      </c>
      <c r="G64" s="177">
        <v>400000</v>
      </c>
      <c r="H64" s="177">
        <v>500000</v>
      </c>
      <c r="I64" s="134"/>
      <c r="J64" s="157"/>
      <c r="K64" s="157">
        <f t="shared" si="0"/>
        <v>-180000</v>
      </c>
      <c r="L64" s="30">
        <f t="shared" si="1"/>
        <v>585000</v>
      </c>
    </row>
    <row r="65" spans="1:12" s="93" customFormat="1" ht="20.100000000000001" customHeight="1" x14ac:dyDescent="0.6">
      <c r="A65" s="136"/>
      <c r="B65" s="136" t="s">
        <v>430</v>
      </c>
      <c r="C65" s="136" t="s">
        <v>432</v>
      </c>
      <c r="D65" s="136">
        <v>232</v>
      </c>
      <c r="E65" s="177">
        <v>450000</v>
      </c>
      <c r="F65" s="177">
        <v>400000</v>
      </c>
      <c r="G65" s="177">
        <v>400000</v>
      </c>
      <c r="H65" s="177">
        <v>500000</v>
      </c>
      <c r="I65" s="136"/>
      <c r="J65" s="157"/>
      <c r="K65" s="157">
        <f t="shared" si="0"/>
        <v>-180000</v>
      </c>
      <c r="L65" s="30">
        <f t="shared" si="1"/>
        <v>585000</v>
      </c>
    </row>
    <row r="66" spans="1:12" s="93" customFormat="1" ht="20.100000000000001" customHeight="1" x14ac:dyDescent="0.6">
      <c r="A66" s="138"/>
      <c r="B66" s="138" t="s">
        <v>430</v>
      </c>
      <c r="C66" s="138" t="s">
        <v>433</v>
      </c>
      <c r="D66" s="138">
        <v>253</v>
      </c>
      <c r="E66" s="177">
        <v>450000</v>
      </c>
      <c r="F66" s="177">
        <v>400000</v>
      </c>
      <c r="G66" s="177">
        <v>400000</v>
      </c>
      <c r="H66" s="177">
        <v>500000</v>
      </c>
      <c r="I66" s="138"/>
      <c r="J66" s="157"/>
      <c r="K66" s="157">
        <f t="shared" si="0"/>
        <v>-180000</v>
      </c>
      <c r="L66" s="30">
        <f t="shared" si="1"/>
        <v>585000</v>
      </c>
    </row>
    <row r="67" spans="1:12" s="93" customFormat="1" ht="20.100000000000001" customHeight="1" x14ac:dyDescent="0.6">
      <c r="A67" s="140"/>
      <c r="B67" s="140" t="s">
        <v>434</v>
      </c>
      <c r="C67" s="140" t="s">
        <v>394</v>
      </c>
      <c r="D67" s="140">
        <v>324</v>
      </c>
      <c r="E67" s="141">
        <v>500000</v>
      </c>
      <c r="F67" s="141">
        <v>450000</v>
      </c>
      <c r="G67" s="141">
        <v>450000</v>
      </c>
      <c r="H67" s="141">
        <v>550000</v>
      </c>
      <c r="I67" s="140"/>
      <c r="J67" s="157"/>
      <c r="K67" s="157">
        <f t="shared" si="0"/>
        <v>-180000</v>
      </c>
      <c r="L67" s="30">
        <f t="shared" si="1"/>
        <v>650000</v>
      </c>
    </row>
    <row r="68" spans="1:12" s="93" customFormat="1" ht="20.100000000000001" customHeight="1" x14ac:dyDescent="0.6">
      <c r="A68" s="142"/>
      <c r="B68" s="142" t="s">
        <v>434</v>
      </c>
      <c r="C68" s="142" t="s">
        <v>435</v>
      </c>
      <c r="D68" s="142">
        <v>346</v>
      </c>
      <c r="E68" s="178">
        <v>550000</v>
      </c>
      <c r="F68" s="178">
        <v>500000</v>
      </c>
      <c r="G68" s="178">
        <v>500000</v>
      </c>
      <c r="H68" s="178">
        <v>600000</v>
      </c>
      <c r="I68" s="142"/>
      <c r="J68" s="157"/>
      <c r="K68" s="157">
        <f t="shared" ref="K68:K71" si="2">J68-180000</f>
        <v>-180000</v>
      </c>
      <c r="L68" s="30">
        <f t="shared" si="1"/>
        <v>715000</v>
      </c>
    </row>
    <row r="69" spans="1:12" s="93" customFormat="1" ht="20.100000000000001" customHeight="1" x14ac:dyDescent="0.6">
      <c r="A69" s="142"/>
      <c r="B69" s="142" t="s">
        <v>434</v>
      </c>
      <c r="C69" s="142" t="s">
        <v>436</v>
      </c>
      <c r="D69" s="142">
        <v>365</v>
      </c>
      <c r="E69" s="178">
        <v>550000</v>
      </c>
      <c r="F69" s="178">
        <v>500000</v>
      </c>
      <c r="G69" s="178">
        <v>500000</v>
      </c>
      <c r="H69" s="178">
        <v>600000</v>
      </c>
      <c r="I69" s="142"/>
      <c r="J69" s="157"/>
      <c r="K69" s="157">
        <f t="shared" si="2"/>
        <v>-180000</v>
      </c>
      <c r="L69" s="30">
        <f t="shared" si="1"/>
        <v>715000</v>
      </c>
    </row>
    <row r="70" spans="1:12" s="93" customFormat="1" ht="20.100000000000001" customHeight="1" x14ac:dyDescent="0.6">
      <c r="A70" s="142"/>
      <c r="B70" s="142" t="s">
        <v>434</v>
      </c>
      <c r="C70" s="142" t="s">
        <v>437</v>
      </c>
      <c r="D70" s="142">
        <v>367</v>
      </c>
      <c r="E70" s="178">
        <v>550000</v>
      </c>
      <c r="F70" s="178">
        <v>500000</v>
      </c>
      <c r="G70" s="178">
        <v>500000</v>
      </c>
      <c r="H70" s="178">
        <v>600000</v>
      </c>
      <c r="I70" s="142"/>
      <c r="J70" s="157"/>
      <c r="K70" s="157">
        <f t="shared" si="2"/>
        <v>-180000</v>
      </c>
      <c r="L70" s="30">
        <f t="shared" si="1"/>
        <v>715000</v>
      </c>
    </row>
    <row r="71" spans="1:12" s="93" customFormat="1" ht="20.100000000000001" customHeight="1" x14ac:dyDescent="0.6">
      <c r="A71" s="144"/>
      <c r="B71" s="144" t="s">
        <v>434</v>
      </c>
      <c r="C71" s="144" t="s">
        <v>438</v>
      </c>
      <c r="D71" s="144">
        <v>386</v>
      </c>
      <c r="E71" s="145">
        <v>600000</v>
      </c>
      <c r="F71" s="145">
        <v>550000</v>
      </c>
      <c r="G71" s="145">
        <v>550000</v>
      </c>
      <c r="H71" s="145">
        <v>650000</v>
      </c>
      <c r="I71" s="144"/>
      <c r="J71" s="157"/>
      <c r="K71" s="157">
        <f t="shared" si="2"/>
        <v>-180000</v>
      </c>
      <c r="L71" s="30">
        <f t="shared" ref="L71:L75" si="3">E71*1.3</f>
        <v>780000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협력사 리스트</vt:lpstr>
      <vt:lpstr>차량</vt:lpstr>
      <vt:lpstr>인력</vt:lpstr>
      <vt:lpstr>부산지역</vt:lpstr>
      <vt:lpstr>GK VAN_지방요금</vt:lpstr>
      <vt:lpstr>뉴경성_지방요금(0211)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지연 한</dc:creator>
  <cp:lastModifiedBy>지연 한</cp:lastModifiedBy>
  <cp:lastPrinted>2026-02-03T07:58:49Z</cp:lastPrinted>
  <dcterms:created xsi:type="dcterms:W3CDTF">2026-01-20T04:35:43Z</dcterms:created>
  <dcterms:modified xsi:type="dcterms:W3CDTF">2026-02-11T08:01:20Z</dcterms:modified>
</cp:coreProperties>
</file>